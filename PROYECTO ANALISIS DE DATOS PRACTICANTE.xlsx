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iusseppe27/Downloads/"/>
    </mc:Choice>
  </mc:AlternateContent>
  <xr:revisionPtr revIDLastSave="0" documentId="13_ncr:1_{BFE18532-FFF6-1041-8B60-B8577E905C38}" xr6:coauthVersionLast="47" xr6:coauthVersionMax="47" xr10:uidLastSave="{00000000-0000-0000-0000-000000000000}"/>
  <bookViews>
    <workbookView xWindow="4180" yWindow="600" windowWidth="29420" windowHeight="18940" xr2:uid="{F25BB6CF-659D-4B4D-98AC-4124CA048757}"/>
  </bookViews>
  <sheets>
    <sheet name="Ventas" sheetId="1" r:id="rId1"/>
    <sheet name="INVENTARIO" sheetId="3" r:id="rId2"/>
    <sheet name="BUSQUEDA DE PRODUCTOS" sheetId="2" r:id="rId3"/>
    <sheet name="TABLAS DINAMICAS" sheetId="4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00" i="1" l="1"/>
  <c r="C492" i="1"/>
  <c r="C484" i="1"/>
  <c r="C476" i="1"/>
  <c r="C468" i="1"/>
  <c r="C460" i="1"/>
  <c r="C452" i="1"/>
  <c r="C444" i="1"/>
  <c r="C436" i="1"/>
  <c r="C428" i="1"/>
  <c r="C420" i="1"/>
  <c r="C412" i="1"/>
  <c r="C404" i="1"/>
  <c r="C396" i="1"/>
  <c r="C388" i="1"/>
  <c r="C380" i="1"/>
  <c r="C372" i="1"/>
  <c r="C364" i="1"/>
  <c r="C356" i="1"/>
  <c r="C348" i="1"/>
  <c r="C340" i="1"/>
  <c r="C332" i="1"/>
  <c r="C324" i="1"/>
  <c r="C316" i="1"/>
  <c r="C308" i="1"/>
  <c r="C304" i="1"/>
  <c r="C300" i="1"/>
  <c r="C296" i="1"/>
  <c r="C292" i="1"/>
  <c r="C288" i="1"/>
  <c r="C284" i="1"/>
  <c r="C280" i="1"/>
  <c r="C276" i="1"/>
  <c r="C272" i="1"/>
  <c r="C268" i="1"/>
  <c r="C264" i="1"/>
  <c r="C260" i="1"/>
  <c r="C256" i="1"/>
  <c r="C252" i="1"/>
  <c r="C248" i="1"/>
  <c r="C244" i="1"/>
  <c r="C240" i="1"/>
  <c r="C236" i="1"/>
  <c r="C232" i="1"/>
  <c r="C228" i="1"/>
  <c r="C224" i="1"/>
  <c r="C220" i="1"/>
  <c r="C216" i="1"/>
  <c r="C212" i="1"/>
  <c r="C208" i="1"/>
  <c r="C204" i="1"/>
  <c r="C200" i="1"/>
  <c r="C196" i="1"/>
  <c r="C192" i="1"/>
  <c r="C188" i="1"/>
  <c r="C184" i="1"/>
  <c r="C180" i="1"/>
  <c r="C176" i="1"/>
  <c r="C172" i="1"/>
  <c r="C168" i="1"/>
  <c r="C164" i="1"/>
  <c r="C160" i="1"/>
  <c r="C156" i="1"/>
  <c r="C152" i="1"/>
  <c r="C148" i="1"/>
  <c r="C144" i="1"/>
  <c r="C140" i="1"/>
  <c r="C136" i="1"/>
  <c r="C132" i="1"/>
  <c r="C128" i="1"/>
  <c r="C124" i="1"/>
  <c r="C120" i="1"/>
  <c r="C116" i="1"/>
  <c r="C112" i="1"/>
  <c r="C108" i="1"/>
  <c r="C104" i="1"/>
  <c r="C100" i="1"/>
  <c r="C96" i="1"/>
  <c r="C92" i="1"/>
  <c r="C88" i="1"/>
  <c r="C84" i="1"/>
  <c r="C80" i="1"/>
  <c r="C76" i="1"/>
  <c r="C72" i="1"/>
  <c r="C68" i="1"/>
  <c r="C64" i="1"/>
  <c r="C60" i="1"/>
  <c r="C56" i="1"/>
  <c r="C52" i="1"/>
  <c r="C48" i="1"/>
  <c r="C44" i="1"/>
  <c r="C40" i="1"/>
  <c r="C36" i="1"/>
  <c r="C32" i="1"/>
  <c r="B30" i="1"/>
  <c r="B29" i="1"/>
  <c r="C24" i="1"/>
  <c r="B22" i="1"/>
  <c r="B21" i="1"/>
  <c r="C16" i="1"/>
  <c r="B14" i="1"/>
  <c r="B13" i="1"/>
  <c r="C8" i="1"/>
  <c r="C7" i="1"/>
  <c r="B6" i="1"/>
  <c r="B5" i="1"/>
  <c r="B9" i="2"/>
  <c r="B8" i="2"/>
  <c r="B34" i="1"/>
  <c r="C33" i="1"/>
  <c r="B33" i="1"/>
  <c r="C3" i="1"/>
  <c r="C4" i="1"/>
  <c r="C5" i="1"/>
  <c r="C6" i="1"/>
  <c r="C9" i="1"/>
  <c r="C10" i="1"/>
  <c r="C11" i="1"/>
  <c r="C12" i="1"/>
  <c r="C13" i="1"/>
  <c r="C14" i="1"/>
  <c r="C15" i="1"/>
  <c r="C17" i="1"/>
  <c r="C18" i="1"/>
  <c r="C19" i="1"/>
  <c r="C20" i="1"/>
  <c r="C21" i="1"/>
  <c r="C22" i="1"/>
  <c r="C23" i="1"/>
  <c r="C25" i="1"/>
  <c r="C26" i="1"/>
  <c r="C27" i="1"/>
  <c r="C28" i="1"/>
  <c r="C29" i="1"/>
  <c r="C30" i="1"/>
  <c r="C31" i="1"/>
  <c r="C34" i="1"/>
  <c r="C35" i="1"/>
  <c r="C37" i="1"/>
  <c r="C38" i="1"/>
  <c r="C39" i="1"/>
  <c r="C41" i="1"/>
  <c r="C42" i="1"/>
  <c r="C43" i="1"/>
  <c r="C45" i="1"/>
  <c r="C46" i="1"/>
  <c r="C47" i="1"/>
  <c r="C49" i="1"/>
  <c r="C50" i="1"/>
  <c r="C51" i="1"/>
  <c r="C53" i="1"/>
  <c r="C54" i="1"/>
  <c r="C55" i="1"/>
  <c r="C57" i="1"/>
  <c r="C58" i="1"/>
  <c r="C59" i="1"/>
  <c r="C61" i="1"/>
  <c r="C62" i="1"/>
  <c r="C63" i="1"/>
  <c r="C65" i="1"/>
  <c r="C66" i="1"/>
  <c r="C67" i="1"/>
  <c r="C69" i="1"/>
  <c r="C70" i="1"/>
  <c r="C71" i="1"/>
  <c r="C73" i="1"/>
  <c r="C74" i="1"/>
  <c r="C75" i="1"/>
  <c r="C77" i="1"/>
  <c r="C78" i="1"/>
  <c r="C79" i="1"/>
  <c r="C81" i="1"/>
  <c r="C82" i="1"/>
  <c r="C83" i="1"/>
  <c r="C85" i="1"/>
  <c r="C86" i="1"/>
  <c r="C87" i="1"/>
  <c r="C89" i="1"/>
  <c r="C90" i="1"/>
  <c r="C91" i="1"/>
  <c r="C93" i="1"/>
  <c r="C94" i="1"/>
  <c r="C95" i="1"/>
  <c r="C97" i="1"/>
  <c r="C98" i="1"/>
  <c r="C99" i="1"/>
  <c r="C101" i="1"/>
  <c r="C102" i="1"/>
  <c r="C103" i="1"/>
  <c r="C105" i="1"/>
  <c r="C106" i="1"/>
  <c r="C107" i="1"/>
  <c r="C109" i="1"/>
  <c r="C110" i="1"/>
  <c r="C111" i="1"/>
  <c r="C113" i="1"/>
  <c r="C114" i="1"/>
  <c r="C115" i="1"/>
  <c r="C117" i="1"/>
  <c r="C118" i="1"/>
  <c r="C119" i="1"/>
  <c r="C121" i="1"/>
  <c r="C122" i="1"/>
  <c r="C123" i="1"/>
  <c r="C125" i="1"/>
  <c r="C126" i="1"/>
  <c r="C127" i="1"/>
  <c r="C129" i="1"/>
  <c r="C130" i="1"/>
  <c r="C131" i="1"/>
  <c r="C133" i="1"/>
  <c r="C134" i="1"/>
  <c r="C135" i="1"/>
  <c r="C137" i="1"/>
  <c r="C138" i="1"/>
  <c r="C139" i="1"/>
  <c r="C141" i="1"/>
  <c r="C142" i="1"/>
  <c r="C143" i="1"/>
  <c r="C145" i="1"/>
  <c r="C146" i="1"/>
  <c r="C147" i="1"/>
  <c r="C149" i="1"/>
  <c r="C150" i="1"/>
  <c r="C151" i="1"/>
  <c r="C153" i="1"/>
  <c r="C154" i="1"/>
  <c r="C155" i="1"/>
  <c r="C157" i="1"/>
  <c r="C158" i="1"/>
  <c r="C159" i="1"/>
  <c r="C161" i="1"/>
  <c r="C162" i="1"/>
  <c r="C163" i="1"/>
  <c r="C165" i="1"/>
  <c r="C166" i="1"/>
  <c r="C167" i="1"/>
  <c r="C169" i="1"/>
  <c r="C170" i="1"/>
  <c r="C171" i="1"/>
  <c r="C173" i="1"/>
  <c r="C174" i="1"/>
  <c r="C175" i="1"/>
  <c r="C177" i="1"/>
  <c r="C178" i="1"/>
  <c r="C179" i="1"/>
  <c r="C181" i="1"/>
  <c r="C182" i="1"/>
  <c r="C183" i="1"/>
  <c r="C185" i="1"/>
  <c r="C186" i="1"/>
  <c r="C187" i="1"/>
  <c r="C189" i="1"/>
  <c r="C190" i="1"/>
  <c r="C191" i="1"/>
  <c r="C193" i="1"/>
  <c r="C194" i="1"/>
  <c r="C195" i="1"/>
  <c r="C197" i="1"/>
  <c r="C198" i="1"/>
  <c r="C199" i="1"/>
  <c r="C201" i="1"/>
  <c r="C202" i="1"/>
  <c r="C203" i="1"/>
  <c r="C205" i="1"/>
  <c r="C206" i="1"/>
  <c r="C207" i="1"/>
  <c r="C209" i="1"/>
  <c r="C210" i="1"/>
  <c r="C211" i="1"/>
  <c r="C213" i="1"/>
  <c r="C214" i="1"/>
  <c r="C215" i="1"/>
  <c r="C217" i="1"/>
  <c r="C218" i="1"/>
  <c r="C219" i="1"/>
  <c r="C221" i="1"/>
  <c r="C222" i="1"/>
  <c r="C223" i="1"/>
  <c r="C225" i="1"/>
  <c r="C226" i="1"/>
  <c r="C227" i="1"/>
  <c r="C229" i="1"/>
  <c r="C230" i="1"/>
  <c r="C231" i="1"/>
  <c r="C233" i="1"/>
  <c r="C234" i="1"/>
  <c r="C235" i="1"/>
  <c r="C237" i="1"/>
  <c r="C238" i="1"/>
  <c r="C239" i="1"/>
  <c r="C241" i="1"/>
  <c r="C242" i="1"/>
  <c r="C243" i="1"/>
  <c r="C245" i="1"/>
  <c r="C246" i="1"/>
  <c r="C247" i="1"/>
  <c r="C249" i="1"/>
  <c r="C250" i="1"/>
  <c r="C251" i="1"/>
  <c r="C253" i="1"/>
  <c r="C254" i="1"/>
  <c r="C255" i="1"/>
  <c r="C257" i="1"/>
  <c r="C258" i="1"/>
  <c r="C259" i="1"/>
  <c r="C261" i="1"/>
  <c r="C262" i="1"/>
  <c r="C263" i="1"/>
  <c r="C265" i="1"/>
  <c r="C266" i="1"/>
  <c r="C267" i="1"/>
  <c r="C269" i="1"/>
  <c r="C270" i="1"/>
  <c r="C271" i="1"/>
  <c r="C273" i="1"/>
  <c r="C274" i="1"/>
  <c r="C275" i="1"/>
  <c r="C277" i="1"/>
  <c r="C278" i="1"/>
  <c r="C279" i="1"/>
  <c r="C281" i="1"/>
  <c r="C282" i="1"/>
  <c r="C283" i="1"/>
  <c r="C285" i="1"/>
  <c r="C286" i="1"/>
  <c r="C287" i="1"/>
  <c r="C289" i="1"/>
  <c r="C290" i="1"/>
  <c r="C291" i="1"/>
  <c r="C293" i="1"/>
  <c r="C294" i="1"/>
  <c r="C295" i="1"/>
  <c r="C297" i="1"/>
  <c r="C298" i="1"/>
  <c r="C299" i="1"/>
  <c r="C301" i="1"/>
  <c r="C302" i="1"/>
  <c r="C303" i="1"/>
  <c r="C305" i="1"/>
  <c r="C306" i="1"/>
  <c r="C307" i="1"/>
  <c r="C309" i="1"/>
  <c r="C310" i="1"/>
  <c r="C311" i="1"/>
  <c r="C312" i="1"/>
  <c r="C313" i="1"/>
  <c r="C314" i="1"/>
  <c r="C315" i="1"/>
  <c r="C317" i="1"/>
  <c r="C318" i="1"/>
  <c r="C319" i="1"/>
  <c r="C320" i="1"/>
  <c r="C321" i="1"/>
  <c r="C322" i="1"/>
  <c r="C323" i="1"/>
  <c r="C325" i="1"/>
  <c r="C326" i="1"/>
  <c r="C327" i="1"/>
  <c r="C328" i="1"/>
  <c r="C329" i="1"/>
  <c r="C330" i="1"/>
  <c r="C331" i="1"/>
  <c r="C333" i="1"/>
  <c r="C334" i="1"/>
  <c r="C335" i="1"/>
  <c r="C336" i="1"/>
  <c r="C337" i="1"/>
  <c r="C338" i="1"/>
  <c r="C339" i="1"/>
  <c r="C341" i="1"/>
  <c r="C342" i="1"/>
  <c r="C343" i="1"/>
  <c r="C344" i="1"/>
  <c r="C345" i="1"/>
  <c r="C346" i="1"/>
  <c r="C347" i="1"/>
  <c r="C349" i="1"/>
  <c r="C350" i="1"/>
  <c r="C351" i="1"/>
  <c r="C352" i="1"/>
  <c r="C353" i="1"/>
  <c r="C354" i="1"/>
  <c r="C355" i="1"/>
  <c r="C357" i="1"/>
  <c r="C358" i="1"/>
  <c r="C359" i="1"/>
  <c r="C360" i="1"/>
  <c r="C361" i="1"/>
  <c r="C362" i="1"/>
  <c r="C363" i="1"/>
  <c r="C365" i="1"/>
  <c r="C366" i="1"/>
  <c r="C367" i="1"/>
  <c r="C368" i="1"/>
  <c r="C369" i="1"/>
  <c r="C370" i="1"/>
  <c r="C371" i="1"/>
  <c r="C373" i="1"/>
  <c r="C374" i="1"/>
  <c r="C375" i="1"/>
  <c r="C376" i="1"/>
  <c r="C377" i="1"/>
  <c r="C378" i="1"/>
  <c r="C379" i="1"/>
  <c r="C381" i="1"/>
  <c r="C382" i="1"/>
  <c r="C383" i="1"/>
  <c r="C384" i="1"/>
  <c r="C385" i="1"/>
  <c r="C386" i="1"/>
  <c r="C387" i="1"/>
  <c r="C389" i="1"/>
  <c r="C390" i="1"/>
  <c r="C391" i="1"/>
  <c r="C392" i="1"/>
  <c r="C393" i="1"/>
  <c r="C394" i="1"/>
  <c r="C395" i="1"/>
  <c r="C397" i="1"/>
  <c r="C398" i="1"/>
  <c r="C399" i="1"/>
  <c r="C400" i="1"/>
  <c r="C401" i="1"/>
  <c r="C402" i="1"/>
  <c r="C403" i="1"/>
  <c r="C405" i="1"/>
  <c r="C406" i="1"/>
  <c r="C407" i="1"/>
  <c r="C408" i="1"/>
  <c r="C409" i="1"/>
  <c r="C410" i="1"/>
  <c r="C411" i="1"/>
  <c r="C413" i="1"/>
  <c r="C414" i="1"/>
  <c r="C415" i="1"/>
  <c r="C416" i="1"/>
  <c r="C417" i="1"/>
  <c r="C418" i="1"/>
  <c r="C419" i="1"/>
  <c r="C421" i="1"/>
  <c r="C422" i="1"/>
  <c r="C423" i="1"/>
  <c r="C424" i="1"/>
  <c r="C425" i="1"/>
  <c r="C426" i="1"/>
  <c r="C427" i="1"/>
  <c r="C429" i="1"/>
  <c r="C430" i="1"/>
  <c r="C431" i="1"/>
  <c r="C432" i="1"/>
  <c r="C433" i="1"/>
  <c r="C434" i="1"/>
  <c r="C435" i="1"/>
  <c r="C437" i="1"/>
  <c r="C438" i="1"/>
  <c r="C439" i="1"/>
  <c r="C440" i="1"/>
  <c r="C441" i="1"/>
  <c r="C442" i="1"/>
  <c r="C443" i="1"/>
  <c r="C445" i="1"/>
  <c r="C446" i="1"/>
  <c r="C447" i="1"/>
  <c r="C448" i="1"/>
  <c r="C449" i="1"/>
  <c r="C450" i="1"/>
  <c r="C451" i="1"/>
  <c r="C453" i="1"/>
  <c r="C454" i="1"/>
  <c r="C455" i="1"/>
  <c r="C456" i="1"/>
  <c r="C457" i="1"/>
  <c r="C458" i="1"/>
  <c r="C459" i="1"/>
  <c r="C461" i="1"/>
  <c r="C462" i="1"/>
  <c r="C463" i="1"/>
  <c r="C464" i="1"/>
  <c r="C465" i="1"/>
  <c r="C466" i="1"/>
  <c r="C467" i="1"/>
  <c r="C469" i="1"/>
  <c r="C470" i="1"/>
  <c r="C471" i="1"/>
  <c r="C472" i="1"/>
  <c r="C473" i="1"/>
  <c r="C474" i="1"/>
  <c r="C475" i="1"/>
  <c r="C477" i="1"/>
  <c r="C478" i="1"/>
  <c r="C479" i="1"/>
  <c r="C480" i="1"/>
  <c r="C481" i="1"/>
  <c r="C482" i="1"/>
  <c r="C483" i="1"/>
  <c r="C485" i="1"/>
  <c r="C486" i="1"/>
  <c r="C487" i="1"/>
  <c r="C488" i="1"/>
  <c r="C489" i="1"/>
  <c r="C490" i="1"/>
  <c r="C491" i="1"/>
  <c r="C493" i="1"/>
  <c r="C494" i="1"/>
  <c r="C495" i="1"/>
  <c r="C496" i="1"/>
  <c r="C497" i="1"/>
  <c r="C498" i="1"/>
  <c r="C499" i="1"/>
  <c r="C501" i="1"/>
  <c r="B3" i="1"/>
  <c r="B4" i="1"/>
  <c r="B7" i="1"/>
  <c r="B8" i="1"/>
  <c r="B9" i="1"/>
  <c r="B10" i="1"/>
  <c r="B11" i="1"/>
  <c r="B12" i="1"/>
  <c r="B15" i="1"/>
  <c r="B16" i="1"/>
  <c r="B17" i="1"/>
  <c r="B18" i="1"/>
  <c r="B19" i="1"/>
  <c r="B20" i="1"/>
  <c r="B23" i="1"/>
  <c r="B24" i="1"/>
  <c r="B25" i="1"/>
  <c r="B26" i="1"/>
  <c r="B27" i="1"/>
  <c r="B28" i="1"/>
  <c r="B31" i="1"/>
  <c r="B32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C2" i="1"/>
  <c r="B2" i="1"/>
</calcChain>
</file>

<file path=xl/sharedStrings.xml><?xml version="1.0" encoding="utf-8"?>
<sst xmlns="http://schemas.openxmlformats.org/spreadsheetml/2006/main" count="2242" uniqueCount="119">
  <si>
    <t>Tienda B</t>
  </si>
  <si>
    <t>Juguetes</t>
  </si>
  <si>
    <t>Lucía</t>
  </si>
  <si>
    <t>Puzzle 1000 piezas</t>
  </si>
  <si>
    <t>Tienda E</t>
  </si>
  <si>
    <t>Hogar</t>
  </si>
  <si>
    <t>María</t>
  </si>
  <si>
    <t>Cafetera Delonghi</t>
  </si>
  <si>
    <t>Tienda C</t>
  </si>
  <si>
    <t>Ropa</t>
  </si>
  <si>
    <t>Pantalón Levi's</t>
  </si>
  <si>
    <t>Tienda D</t>
  </si>
  <si>
    <t>Electrónica</t>
  </si>
  <si>
    <t>Ana</t>
  </si>
  <si>
    <t>Smartphone Samsung</t>
  </si>
  <si>
    <t>Ventilador Imaco</t>
  </si>
  <si>
    <t>José</t>
  </si>
  <si>
    <t>Polo Adidas</t>
  </si>
  <si>
    <t>Casaca Puma</t>
  </si>
  <si>
    <t>Tienda A</t>
  </si>
  <si>
    <t>Smartwatch Apple</t>
  </si>
  <si>
    <t>Deportes</t>
  </si>
  <si>
    <t>Guantes Everlast</t>
  </si>
  <si>
    <t>Luis</t>
  </si>
  <si>
    <t>Lego Star Wars</t>
  </si>
  <si>
    <t>Drone para niños</t>
  </si>
  <si>
    <t>Belleza</t>
  </si>
  <si>
    <t>Crema Nivea</t>
  </si>
  <si>
    <t>Balón Adidas</t>
  </si>
  <si>
    <t>Plancha Philips</t>
  </si>
  <si>
    <t>Perfume Dior</t>
  </si>
  <si>
    <t>Auriculares Sony</t>
  </si>
  <si>
    <t>Licuadora Oster</t>
  </si>
  <si>
    <t>Rosa</t>
  </si>
  <si>
    <t>Auto Hot Wheels</t>
  </si>
  <si>
    <t>Pedro</t>
  </si>
  <si>
    <t>Secadora Philips</t>
  </si>
  <si>
    <t>Cuerda para saltar</t>
  </si>
  <si>
    <t>Carlos</t>
  </si>
  <si>
    <t>Maquillaje Maybelline</t>
  </si>
  <si>
    <t>Camisa Lacoste</t>
  </si>
  <si>
    <t>Zapatillas Nike</t>
  </si>
  <si>
    <t>Bicicleta Trek</t>
  </si>
  <si>
    <t>Microondas LG</t>
  </si>
  <si>
    <t>Tablet Lenovo</t>
  </si>
  <si>
    <t>Laptop HP</t>
  </si>
  <si>
    <t>Raqueta Wilson</t>
  </si>
  <si>
    <t>Plancha de cabello Remington</t>
  </si>
  <si>
    <t>Muñeca Barbie</t>
  </si>
  <si>
    <t>Fecha</t>
  </si>
  <si>
    <t>Tienda</t>
  </si>
  <si>
    <t>Categoria de Producto</t>
  </si>
  <si>
    <t>Vendedor</t>
  </si>
  <si>
    <t>Producto</t>
  </si>
  <si>
    <t>Cantidad</t>
  </si>
  <si>
    <t>Precio</t>
  </si>
  <si>
    <t>Total</t>
  </si>
  <si>
    <t>Mes</t>
  </si>
  <si>
    <t>Año</t>
  </si>
  <si>
    <t>LISTA DE PRODUCTOS</t>
  </si>
  <si>
    <t>PRO - 001</t>
  </si>
  <si>
    <t>PRO - 002</t>
  </si>
  <si>
    <t>PRO - 003</t>
  </si>
  <si>
    <t>PRO - 004</t>
  </si>
  <si>
    <t>PRO - 005</t>
  </si>
  <si>
    <t>PRO - 006</t>
  </si>
  <si>
    <t>PRO - 007</t>
  </si>
  <si>
    <t>PRO - 008</t>
  </si>
  <si>
    <t>PRO - 009</t>
  </si>
  <si>
    <t>PRO - 010</t>
  </si>
  <si>
    <t>PRO - 011</t>
  </si>
  <si>
    <t>PRO - 012</t>
  </si>
  <si>
    <t>PRO - 013</t>
  </si>
  <si>
    <t>PRO - 014</t>
  </si>
  <si>
    <t>PRO - 015</t>
  </si>
  <si>
    <t>PRO - 016</t>
  </si>
  <si>
    <t>PRO - 017</t>
  </si>
  <si>
    <t>PRO - 018</t>
  </si>
  <si>
    <t>PRO - 019</t>
  </si>
  <si>
    <t>PRO - 020</t>
  </si>
  <si>
    <t>PRO - 021</t>
  </si>
  <si>
    <t>PRO - 022</t>
  </si>
  <si>
    <t>PRO - 023</t>
  </si>
  <si>
    <t>PRO - 024</t>
  </si>
  <si>
    <t>PRO - 025</t>
  </si>
  <si>
    <t>PRO - 026</t>
  </si>
  <si>
    <t>PRO - 027</t>
  </si>
  <si>
    <t>PRO - 028</t>
  </si>
  <si>
    <t>PRO - 029</t>
  </si>
  <si>
    <t>PRO - 030</t>
  </si>
  <si>
    <t>Codigo</t>
  </si>
  <si>
    <t>Productos</t>
  </si>
  <si>
    <t>Categoria</t>
  </si>
  <si>
    <t>BUSQUEDA DE PRODUCTO</t>
  </si>
  <si>
    <t>N CODIGO</t>
  </si>
  <si>
    <t>Etiquetas de fila</t>
  </si>
  <si>
    <t>Total general</t>
  </si>
  <si>
    <t>Suma de Total</t>
  </si>
  <si>
    <t xml:space="preserve"> Año</t>
  </si>
  <si>
    <t>Ventas Totales</t>
  </si>
  <si>
    <t>VENTAS TOTALES POR MES</t>
  </si>
  <si>
    <t>VENTAS TOTALES POR AÑO</t>
  </si>
  <si>
    <t>VENTAS POR TIENDA</t>
  </si>
  <si>
    <t>PRODUCTO MÁS VENDIDO</t>
  </si>
  <si>
    <t>Suma de Cantidad</t>
  </si>
  <si>
    <t xml:space="preserve"> Producto </t>
  </si>
  <si>
    <t xml:space="preserve"> Cantidad</t>
  </si>
  <si>
    <t>Numero Mes</t>
  </si>
  <si>
    <t xml:space="preserve"> Total</t>
  </si>
  <si>
    <t>CATEGORIA MÁS RENTABLE</t>
  </si>
  <si>
    <t>MEJOR VENDEDOR</t>
  </si>
  <si>
    <t xml:space="preserve"> Productos </t>
  </si>
  <si>
    <t>Etiquetas de columna</t>
  </si>
  <si>
    <t>o</t>
  </si>
  <si>
    <t>Total Suma de Total</t>
  </si>
  <si>
    <t xml:space="preserve"> Mes</t>
  </si>
  <si>
    <t>Total  % Crecimiento</t>
  </si>
  <si>
    <t xml:space="preserve"> % Crecimiento</t>
  </si>
  <si>
    <t>% Crecimento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</si>
</sst>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S/&quot;\ * #,##0.00_-;\-&quot;S/&quot;\ * #,##0.00_-;_-&quot;S/&quot;\ * &quot;-&quot;??_-;_-@_-"/>
  </numFmts>
  <fonts count="2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Display"/>
      <scheme val="major"/>
    </font>
    <font>
      <sz val="26"/>
      <color theme="1"/>
      <name val="Aharoni Bold"/>
    </font>
    <font>
      <sz val="8"/>
      <name val="Aptos Narrow"/>
      <family val="2"/>
      <scheme val="minor"/>
    </font>
    <font>
      <sz val="12"/>
      <color rgb="FF000000"/>
      <name val="Aptos Display"/>
      <charset val="1"/>
    </font>
    <font>
      <b/>
      <sz val="16"/>
      <color theme="1"/>
      <name val="Aptos Narrow"/>
      <scheme val="minor"/>
    </font>
    <font>
      <b/>
      <sz val="16"/>
      <color theme="1"/>
      <name val="Aptos Display"/>
      <scheme val="major"/>
    </font>
    <font>
      <b/>
      <sz val="20"/>
      <color theme="1"/>
      <name val="ADLaM Display Regular"/>
    </font>
    <font>
      <b/>
      <sz val="12"/>
      <color theme="1"/>
      <name val="ADLaM Display Regula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thin">
        <color rgb="FF999999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7">
    <xf numFmtId="0" fontId="0" fillId="0" borderId="0" xfId="0"/>
    <xf numFmtId="0" fontId="0" fillId="0" borderId="0" xfId="0" applyAlignment="1">
      <alignment horizontal="center" vertical="center"/>
    </xf>
    <xf numFmtId="0" fontId="22" fillId="0" borderId="0" xfId="0" applyFont="1"/>
    <xf numFmtId="0" fontId="0" fillId="0" borderId="10" xfId="0" applyBorder="1"/>
    <xf numFmtId="0" fontId="0" fillId="33" borderId="10" xfId="0" applyFill="1" applyBorder="1"/>
    <xf numFmtId="0" fontId="19" fillId="33" borderId="10" xfId="0" applyFont="1" applyFill="1" applyBorder="1" applyAlignment="1">
      <alignment horizontal="center" vertical="center"/>
    </xf>
    <xf numFmtId="0" fontId="19" fillId="33" borderId="10" xfId="0" applyFont="1" applyFill="1" applyBorder="1"/>
    <xf numFmtId="0" fontId="19" fillId="0" borderId="10" xfId="0" applyFont="1" applyBorder="1"/>
    <xf numFmtId="0" fontId="19" fillId="0" borderId="0" xfId="0" applyFont="1"/>
    <xf numFmtId="0" fontId="23" fillId="0" borderId="10" xfId="0" applyFont="1" applyBorder="1"/>
    <xf numFmtId="0" fontId="18" fillId="34" borderId="0" xfId="0" applyFont="1" applyFill="1"/>
    <xf numFmtId="0" fontId="18" fillId="34" borderId="10" xfId="0" applyFont="1" applyFill="1" applyBorder="1"/>
    <xf numFmtId="14" fontId="19" fillId="33" borderId="11" xfId="0" applyNumberFormat="1" applyFont="1" applyFill="1" applyBorder="1" applyAlignment="1">
      <alignment vertical="top"/>
    </xf>
    <xf numFmtId="0" fontId="24" fillId="0" borderId="13" xfId="0" applyFont="1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14" fontId="19" fillId="33" borderId="16" xfId="0" applyNumberFormat="1" applyFont="1" applyFill="1" applyBorder="1" applyAlignment="1">
      <alignment vertical="top"/>
    </xf>
    <xf numFmtId="0" fontId="0" fillId="33" borderId="17" xfId="0" applyFill="1" applyBorder="1"/>
    <xf numFmtId="0" fontId="19" fillId="33" borderId="17" xfId="0" applyFont="1" applyFill="1" applyBorder="1" applyAlignment="1">
      <alignment horizontal="center" vertical="center"/>
    </xf>
    <xf numFmtId="0" fontId="19" fillId="33" borderId="17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left" indent="1"/>
    </xf>
    <xf numFmtId="10" fontId="0" fillId="0" borderId="0" xfId="0" applyNumberFormat="1"/>
    <xf numFmtId="0" fontId="16" fillId="0" borderId="19" xfId="0" applyFont="1" applyBorder="1"/>
    <xf numFmtId="0" fontId="0" fillId="0" borderId="23" xfId="0" applyBorder="1" applyAlignment="1">
      <alignment horizontal="left"/>
    </xf>
    <xf numFmtId="10" fontId="0" fillId="0" borderId="24" xfId="0" applyNumberFormat="1" applyBorder="1"/>
    <xf numFmtId="0" fontId="0" fillId="0" borderId="21" xfId="0" applyBorder="1" applyAlignment="1">
      <alignment horizontal="left"/>
    </xf>
    <xf numFmtId="10" fontId="0" fillId="0" borderId="22" xfId="0" applyNumberFormat="1" applyBorder="1"/>
    <xf numFmtId="0" fontId="16" fillId="35" borderId="23" xfId="0" applyFont="1" applyFill="1" applyBorder="1"/>
    <xf numFmtId="0" fontId="16" fillId="35" borderId="24" xfId="0" applyFont="1" applyFill="1" applyBorder="1"/>
    <xf numFmtId="2" fontId="24" fillId="0" borderId="14" xfId="0" applyNumberFormat="1" applyFont="1" applyBorder="1" applyAlignment="1">
      <alignment horizontal="center" vertical="center"/>
    </xf>
    <xf numFmtId="2" fontId="19" fillId="33" borderId="10" xfId="1" applyNumberFormat="1" applyFont="1" applyFill="1" applyBorder="1"/>
    <xf numFmtId="2" fontId="19" fillId="33" borderId="17" xfId="1" applyNumberFormat="1" applyFont="1" applyFill="1" applyBorder="1"/>
    <xf numFmtId="2" fontId="24" fillId="0" borderId="15" xfId="0" applyNumberFormat="1" applyFont="1" applyBorder="1" applyAlignment="1">
      <alignment horizontal="center" vertical="center"/>
    </xf>
    <xf numFmtId="2" fontId="19" fillId="33" borderId="12" xfId="1" applyNumberFormat="1" applyFont="1" applyFill="1" applyBorder="1"/>
    <xf numFmtId="2" fontId="19" fillId="33" borderId="18" xfId="1" applyNumberFormat="1" applyFont="1" applyFill="1" applyBorder="1"/>
    <xf numFmtId="14" fontId="0" fillId="0" borderId="0" xfId="0" applyNumberFormat="1"/>
    <xf numFmtId="14" fontId="22" fillId="0" borderId="0" xfId="0" applyNumberFormat="1" applyFont="1" applyAlignment="1">
      <alignment vertical="top"/>
    </xf>
    <xf numFmtId="0" fontId="20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20" xfId="0" applyFont="1" applyBorder="1" applyAlignment="1">
      <alignment horizontal="center"/>
    </xf>
    <xf numFmtId="0" fontId="2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6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oneda" xfId="1" builtinId="4"/>
    <cellStyle name="Neutral" xfId="9" builtinId="28" customBuiltin="1"/>
    <cellStyle name="Normal" xfId="0" builtinId="0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31"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scheme val="major"/>
      </font>
      <numFmt numFmtId="2" formatCode="0.00"/>
      <fill>
        <patternFill patternType="solid">
          <fgColor indexed="64"/>
          <bgColor theme="3" tint="0.749992370372631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scheme val="major"/>
      </font>
      <numFmt numFmtId="2" formatCode="0.00"/>
      <fill>
        <patternFill patternType="solid">
          <fgColor indexed="64"/>
          <bgColor theme="3" tint="0.74999237037263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scheme val="major"/>
      </font>
      <fill>
        <patternFill patternType="solid">
          <fgColor indexed="64"/>
          <bgColor theme="3" tint="0.74999237037263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scheme val="major"/>
      </font>
      <fill>
        <patternFill patternType="solid">
          <fgColor indexed="64"/>
          <bgColor theme="3" tint="0.74999237037263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scheme val="major"/>
      </font>
      <fill>
        <patternFill patternType="solid">
          <fgColor indexed="64"/>
          <bgColor theme="3" tint="0.74999237037263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scheme val="major"/>
      </font>
      <fill>
        <patternFill patternType="solid">
          <fgColor indexed="64"/>
          <bgColor theme="3" tint="0.74999237037263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scheme val="major"/>
      </font>
      <fill>
        <patternFill patternType="solid">
          <fgColor indexed="64"/>
          <bgColor theme="3" tint="0.74999237037263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3" tint="0.74999237037263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3" tint="0.74999237037263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scheme val="major"/>
      </font>
      <numFmt numFmtId="19" formatCode="d/mm/yy"/>
      <fill>
        <patternFill patternType="solid">
          <fgColor indexed="64"/>
          <bgColor theme="3" tint="0.749992370372631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scheme val="major"/>
      </font>
      <fill>
        <patternFill patternType="solid">
          <fgColor indexed="64"/>
          <bgColor theme="3" tint="0.74999237037263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Display"/>
        <scheme val="maj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 ANALISIS DE DATOS PRACTICANTE.xlsx]TABLAS DINAMICAS!TablaDinámica16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'TABLAS DINAMICAS'!$K$31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'TABLAS DINAMICAS'!$J$32:$J$51</c:f>
              <c:multiLvlStrCache>
                <c:ptCount val="17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</c:lvl>
                <c:lvl>
                  <c:pt idx="0">
                    <c:v>2026</c:v>
                  </c:pt>
                  <c:pt idx="12">
                    <c:v>2027</c:v>
                  </c:pt>
                </c:lvl>
              </c:multiLvlStrCache>
            </c:multiLvlStrRef>
          </c:cat>
          <c:val>
            <c:numRef>
              <c:f>'TABLAS DINAMICAS'!$K$32:$K$51</c:f>
              <c:numCache>
                <c:formatCode>_("S/"* #,##0.00_);_("S/"* \(#,##0.00\);_("S/"* "-"??_);_(@_)</c:formatCode>
                <c:ptCount val="17"/>
                <c:pt idx="0">
                  <c:v>132759.50000000003</c:v>
                </c:pt>
                <c:pt idx="1">
                  <c:v>122438.91</c:v>
                </c:pt>
                <c:pt idx="2">
                  <c:v>129807.33</c:v>
                </c:pt>
                <c:pt idx="3">
                  <c:v>102333.55</c:v>
                </c:pt>
                <c:pt idx="4">
                  <c:v>121933.15000000001</c:v>
                </c:pt>
                <c:pt idx="5">
                  <c:v>122833.61999999998</c:v>
                </c:pt>
                <c:pt idx="6">
                  <c:v>143129.22999999998</c:v>
                </c:pt>
                <c:pt idx="7">
                  <c:v>132515.98000000004</c:v>
                </c:pt>
                <c:pt idx="8">
                  <c:v>96956.749999999985</c:v>
                </c:pt>
                <c:pt idx="9">
                  <c:v>127713.59000000004</c:v>
                </c:pt>
                <c:pt idx="10">
                  <c:v>121148.35999999997</c:v>
                </c:pt>
                <c:pt idx="11">
                  <c:v>121039.37999999999</c:v>
                </c:pt>
                <c:pt idx="12">
                  <c:v>99533.660000000018</c:v>
                </c:pt>
                <c:pt idx="13">
                  <c:v>98575.069999999978</c:v>
                </c:pt>
                <c:pt idx="14">
                  <c:v>163195.22999999998</c:v>
                </c:pt>
                <c:pt idx="15">
                  <c:v>125791.68000000004</c:v>
                </c:pt>
                <c:pt idx="16">
                  <c:v>73439.740000000005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33-9047-B925-2452237DE6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1947327"/>
        <c:axId val="821937023"/>
      </c:lineChart>
      <c:catAx>
        <c:axId val="821947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821937023"/>
        <c:crosses val="autoZero"/>
        <c:auto val="1"/>
        <c:lblAlgn val="ctr"/>
        <c:lblOffset val="100"/>
        <c:noMultiLvlLbl val="0"/>
      </c:catAx>
      <c:valAx>
        <c:axId val="821937023"/>
        <c:scaling>
          <c:orientation val="minMax"/>
        </c:scaling>
        <c:delete val="0"/>
        <c:axPos val="l"/>
        <c:numFmt formatCode="_(&quot;S/&quot;* #,##0.00_);_(&quot;S/&quot;* \(#,##0.00\);_(&quot;S/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821947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 ANALISIS DE DATOS PRACTICANTE.xlsx]TABLAS DINAMICAS!TablaDinámica17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'TABLAS DINAMICAS'!$S$6:$S$7</c:f>
              <c:strCache>
                <c:ptCount val="1"/>
                <c:pt idx="0">
                  <c:v>Ropa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'TABLAS DINAMICAS'!$R$8:$R$13</c:f>
              <c:strCache>
                <c:ptCount val="5"/>
                <c:pt idx="0">
                  <c:v>Tienda A</c:v>
                </c:pt>
                <c:pt idx="1">
                  <c:v>Tienda B</c:v>
                </c:pt>
                <c:pt idx="2">
                  <c:v>Tienda C</c:v>
                </c:pt>
                <c:pt idx="3">
                  <c:v>Tienda D</c:v>
                </c:pt>
                <c:pt idx="4">
                  <c:v>Tienda E</c:v>
                </c:pt>
              </c:strCache>
            </c:strRef>
          </c:cat>
          <c:val>
            <c:numRef>
              <c:f>'TABLAS DINAMICAS'!$S$8:$S$13</c:f>
              <c:numCache>
                <c:formatCode>General</c:formatCode>
                <c:ptCount val="5"/>
                <c:pt idx="0">
                  <c:v>97</c:v>
                </c:pt>
                <c:pt idx="1">
                  <c:v>93</c:v>
                </c:pt>
                <c:pt idx="2">
                  <c:v>118</c:v>
                </c:pt>
                <c:pt idx="3">
                  <c:v>88</c:v>
                </c:pt>
                <c:pt idx="4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68-8149-A7E9-A190434C3B7E}"/>
            </c:ext>
          </c:extLst>
        </c:ser>
        <c:ser>
          <c:idx val="1"/>
          <c:order val="1"/>
          <c:tx>
            <c:strRef>
              <c:f>'TABLAS DINAMICAS'!$T$6:$T$7</c:f>
              <c:strCache>
                <c:ptCount val="1"/>
                <c:pt idx="0">
                  <c:v>Juguetes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'TABLAS DINAMICAS'!$R$8:$R$13</c:f>
              <c:strCache>
                <c:ptCount val="5"/>
                <c:pt idx="0">
                  <c:v>Tienda A</c:v>
                </c:pt>
                <c:pt idx="1">
                  <c:v>Tienda B</c:v>
                </c:pt>
                <c:pt idx="2">
                  <c:v>Tienda C</c:v>
                </c:pt>
                <c:pt idx="3">
                  <c:v>Tienda D</c:v>
                </c:pt>
                <c:pt idx="4">
                  <c:v>Tienda E</c:v>
                </c:pt>
              </c:strCache>
            </c:strRef>
          </c:cat>
          <c:val>
            <c:numRef>
              <c:f>'TABLAS DINAMICAS'!$T$8:$T$13</c:f>
              <c:numCache>
                <c:formatCode>General</c:formatCode>
                <c:ptCount val="5"/>
                <c:pt idx="0">
                  <c:v>115</c:v>
                </c:pt>
                <c:pt idx="1">
                  <c:v>97</c:v>
                </c:pt>
                <c:pt idx="2">
                  <c:v>93</c:v>
                </c:pt>
                <c:pt idx="3">
                  <c:v>65</c:v>
                </c:pt>
                <c:pt idx="4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68-8149-A7E9-A190434C3B7E}"/>
            </c:ext>
          </c:extLst>
        </c:ser>
        <c:ser>
          <c:idx val="2"/>
          <c:order val="2"/>
          <c:tx>
            <c:strRef>
              <c:f>'TABLAS DINAMICAS'!$U$6:$U$7</c:f>
              <c:strCache>
                <c:ptCount val="1"/>
                <c:pt idx="0">
                  <c:v>Hogar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'TABLAS DINAMICAS'!$R$8:$R$13</c:f>
              <c:strCache>
                <c:ptCount val="5"/>
                <c:pt idx="0">
                  <c:v>Tienda A</c:v>
                </c:pt>
                <c:pt idx="1">
                  <c:v>Tienda B</c:v>
                </c:pt>
                <c:pt idx="2">
                  <c:v>Tienda C</c:v>
                </c:pt>
                <c:pt idx="3">
                  <c:v>Tienda D</c:v>
                </c:pt>
                <c:pt idx="4">
                  <c:v>Tienda E</c:v>
                </c:pt>
              </c:strCache>
            </c:strRef>
          </c:cat>
          <c:val>
            <c:numRef>
              <c:f>'TABLAS DINAMICAS'!$U$8:$U$13</c:f>
              <c:numCache>
                <c:formatCode>General</c:formatCode>
                <c:ptCount val="5"/>
                <c:pt idx="0">
                  <c:v>121</c:v>
                </c:pt>
                <c:pt idx="1">
                  <c:v>118</c:v>
                </c:pt>
                <c:pt idx="2">
                  <c:v>41</c:v>
                </c:pt>
                <c:pt idx="3">
                  <c:v>167</c:v>
                </c:pt>
                <c:pt idx="4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B68-8149-A7E9-A190434C3B7E}"/>
            </c:ext>
          </c:extLst>
        </c:ser>
        <c:ser>
          <c:idx val="3"/>
          <c:order val="3"/>
          <c:tx>
            <c:strRef>
              <c:f>'TABLAS DINAMICAS'!$V$6:$V$7</c:f>
              <c:strCache>
                <c:ptCount val="1"/>
                <c:pt idx="0">
                  <c:v>Electrónica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'TABLAS DINAMICAS'!$R$8:$R$13</c:f>
              <c:strCache>
                <c:ptCount val="5"/>
                <c:pt idx="0">
                  <c:v>Tienda A</c:v>
                </c:pt>
                <c:pt idx="1">
                  <c:v>Tienda B</c:v>
                </c:pt>
                <c:pt idx="2">
                  <c:v>Tienda C</c:v>
                </c:pt>
                <c:pt idx="3">
                  <c:v>Tienda D</c:v>
                </c:pt>
                <c:pt idx="4">
                  <c:v>Tienda E</c:v>
                </c:pt>
              </c:strCache>
            </c:strRef>
          </c:cat>
          <c:val>
            <c:numRef>
              <c:f>'TABLAS DINAMICAS'!$V$8:$V$13</c:f>
              <c:numCache>
                <c:formatCode>General</c:formatCode>
                <c:ptCount val="5"/>
                <c:pt idx="0">
                  <c:v>92</c:v>
                </c:pt>
                <c:pt idx="1">
                  <c:v>96</c:v>
                </c:pt>
                <c:pt idx="2">
                  <c:v>41</c:v>
                </c:pt>
                <c:pt idx="3">
                  <c:v>95</c:v>
                </c:pt>
                <c:pt idx="4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B68-8149-A7E9-A190434C3B7E}"/>
            </c:ext>
          </c:extLst>
        </c:ser>
        <c:ser>
          <c:idx val="4"/>
          <c:order val="4"/>
          <c:tx>
            <c:strRef>
              <c:f>'TABLAS DINAMICAS'!$W$6:$W$7</c:f>
              <c:strCache>
                <c:ptCount val="1"/>
                <c:pt idx="0">
                  <c:v>Deportes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'TABLAS DINAMICAS'!$R$8:$R$13</c:f>
              <c:strCache>
                <c:ptCount val="5"/>
                <c:pt idx="0">
                  <c:v>Tienda A</c:v>
                </c:pt>
                <c:pt idx="1">
                  <c:v>Tienda B</c:v>
                </c:pt>
                <c:pt idx="2">
                  <c:v>Tienda C</c:v>
                </c:pt>
                <c:pt idx="3">
                  <c:v>Tienda D</c:v>
                </c:pt>
                <c:pt idx="4">
                  <c:v>Tienda E</c:v>
                </c:pt>
              </c:strCache>
            </c:strRef>
          </c:cat>
          <c:val>
            <c:numRef>
              <c:f>'TABLAS DINAMICAS'!$W$8:$W$13</c:f>
              <c:numCache>
                <c:formatCode>General</c:formatCode>
                <c:ptCount val="5"/>
                <c:pt idx="0">
                  <c:v>67</c:v>
                </c:pt>
                <c:pt idx="1">
                  <c:v>70</c:v>
                </c:pt>
                <c:pt idx="2">
                  <c:v>43</c:v>
                </c:pt>
                <c:pt idx="3">
                  <c:v>93</c:v>
                </c:pt>
                <c:pt idx="4">
                  <c:v>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B68-8149-A7E9-A190434C3B7E}"/>
            </c:ext>
          </c:extLst>
        </c:ser>
        <c:ser>
          <c:idx val="5"/>
          <c:order val="5"/>
          <c:tx>
            <c:strRef>
              <c:f>'TABLAS DINAMICAS'!$X$6:$X$7</c:f>
              <c:strCache>
                <c:ptCount val="1"/>
                <c:pt idx="0">
                  <c:v>Belleza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'TABLAS DINAMICAS'!$R$8:$R$13</c:f>
              <c:strCache>
                <c:ptCount val="5"/>
                <c:pt idx="0">
                  <c:v>Tienda A</c:v>
                </c:pt>
                <c:pt idx="1">
                  <c:v>Tienda B</c:v>
                </c:pt>
                <c:pt idx="2">
                  <c:v>Tienda C</c:v>
                </c:pt>
                <c:pt idx="3">
                  <c:v>Tienda D</c:v>
                </c:pt>
                <c:pt idx="4">
                  <c:v>Tienda E</c:v>
                </c:pt>
              </c:strCache>
            </c:strRef>
          </c:cat>
          <c:val>
            <c:numRef>
              <c:f>'TABLAS DINAMICAS'!$X$8:$X$13</c:f>
              <c:numCache>
                <c:formatCode>General</c:formatCode>
                <c:ptCount val="5"/>
                <c:pt idx="0">
                  <c:v>87</c:v>
                </c:pt>
                <c:pt idx="1">
                  <c:v>71</c:v>
                </c:pt>
                <c:pt idx="2">
                  <c:v>72</c:v>
                </c:pt>
                <c:pt idx="3">
                  <c:v>89</c:v>
                </c:pt>
                <c:pt idx="4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B68-8149-A7E9-A190434C3B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7361152"/>
        <c:axId val="487371904"/>
      </c:barChart>
      <c:catAx>
        <c:axId val="487361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87371904"/>
        <c:crosses val="autoZero"/>
        <c:auto val="1"/>
        <c:lblAlgn val="ctr"/>
        <c:lblOffset val="100"/>
        <c:noMultiLvlLbl val="0"/>
      </c:catAx>
      <c:valAx>
        <c:axId val="487371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87361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9534656125248668"/>
          <c:y val="0.21608322040506889"/>
          <c:w val="9.8038749992578E-2"/>
          <c:h val="0.567833230432178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'TABLAS DINAMICAS'!$K$54</c:f>
              <c:strCache>
                <c:ptCount val="1"/>
                <c:pt idx="0">
                  <c:v>% Crecimento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'TABLAS DINAMICAS'!$J$55:$J$59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'TABLAS DINAMICAS'!$K$55:$K$59</c:f>
              <c:numCache>
                <c:formatCode>0.00%</c:formatCode>
                <c:ptCount val="5"/>
                <c:pt idx="0">
                  <c:v>-0.25027090340051028</c:v>
                </c:pt>
                <c:pt idx="1">
                  <c:v>-0.1949040546015969</c:v>
                </c:pt>
                <c:pt idx="2">
                  <c:v>0.25721120679394616</c:v>
                </c:pt>
                <c:pt idx="3">
                  <c:v>0.22923205537186978</c:v>
                </c:pt>
                <c:pt idx="4">
                  <c:v>-0.39770488993354147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57-6C45-92BD-610B1D92E7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smooth val="0"/>
        <c:axId val="512723584"/>
        <c:axId val="512670592"/>
      </c:lineChart>
      <c:catAx>
        <c:axId val="512723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12670592"/>
        <c:crosses val="autoZero"/>
        <c:auto val="1"/>
        <c:lblAlgn val="ctr"/>
        <c:lblOffset val="100"/>
        <c:noMultiLvlLbl val="0"/>
      </c:catAx>
      <c:valAx>
        <c:axId val="51267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12723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 ANALISIS DE DATOS PRACTICANTE.xlsx]TABLAS DINAMICAS!TablaDinámica11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'TABLAS DINAMICAS'!$B$15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'TABLAS DINAMICAS'!$A$16:$A$28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'TABLAS DINAMICAS'!$B$16:$B$28</c:f>
              <c:numCache>
                <c:formatCode>_("S/"* #,##0.00_);_("S/"* \(#,##0.00\);_("S/"* "-"??_);_(@_)</c:formatCode>
                <c:ptCount val="12"/>
                <c:pt idx="0">
                  <c:v>232293.16000000003</c:v>
                </c:pt>
                <c:pt idx="1">
                  <c:v>221013.98000000004</c:v>
                </c:pt>
                <c:pt idx="2">
                  <c:v>293002.56000000006</c:v>
                </c:pt>
                <c:pt idx="3">
                  <c:v>228125.22999999998</c:v>
                </c:pt>
                <c:pt idx="4">
                  <c:v>195372.89</c:v>
                </c:pt>
                <c:pt idx="5">
                  <c:v>122833.61999999998</c:v>
                </c:pt>
                <c:pt idx="6">
                  <c:v>143129.22999999998</c:v>
                </c:pt>
                <c:pt idx="7">
                  <c:v>132515.98000000004</c:v>
                </c:pt>
                <c:pt idx="8">
                  <c:v>96956.749999999985</c:v>
                </c:pt>
                <c:pt idx="9">
                  <c:v>127713.59000000004</c:v>
                </c:pt>
                <c:pt idx="10">
                  <c:v>121148.35999999997</c:v>
                </c:pt>
                <c:pt idx="11">
                  <c:v>121039.37999999999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FB-DE41-83C6-B443B4853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smooth val="0"/>
        <c:axId val="521393408"/>
        <c:axId val="521402368"/>
      </c:lineChart>
      <c:catAx>
        <c:axId val="521393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21402368"/>
        <c:crosses val="autoZero"/>
        <c:auto val="1"/>
        <c:lblAlgn val="ctr"/>
        <c:lblOffset val="100"/>
        <c:noMultiLvlLbl val="0"/>
      </c:catAx>
      <c:valAx>
        <c:axId val="521402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S/&quot;* #,##0.00_);_(&quot;S/&quot;* \(#,##0.00\);_(&quot;S/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21393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23926</xdr:colOff>
      <xdr:row>33</xdr:row>
      <xdr:rowOff>105464</xdr:rowOff>
    </xdr:from>
    <xdr:to>
      <xdr:col>16</xdr:col>
      <xdr:colOff>141722</xdr:colOff>
      <xdr:row>47</xdr:row>
      <xdr:rowOff>14171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E337E4D-BD04-90DB-1F0C-F3F31B162E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819150</xdr:colOff>
      <xdr:row>14</xdr:row>
      <xdr:rowOff>25400</xdr:rowOff>
    </xdr:from>
    <xdr:to>
      <xdr:col>25</xdr:col>
      <xdr:colOff>50800</xdr:colOff>
      <xdr:row>28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FAAFF20-C75F-2324-1A82-8C15C651F1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790575</xdr:colOff>
      <xdr:row>59</xdr:row>
      <xdr:rowOff>111125</xdr:rowOff>
    </xdr:from>
    <xdr:to>
      <xdr:col>12</xdr:col>
      <xdr:colOff>917575</xdr:colOff>
      <xdr:row>73</xdr:row>
      <xdr:rowOff>9525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09FD6CC1-A870-3AB3-0A70-5E2E14F6DB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1016000</xdr:colOff>
      <xdr:row>23</xdr:row>
      <xdr:rowOff>196850</xdr:rowOff>
    </xdr:from>
    <xdr:to>
      <xdr:col>6</xdr:col>
      <xdr:colOff>0</xdr:colOff>
      <xdr:row>37</xdr:row>
      <xdr:rowOff>95250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E1140F3B-1E55-4CC1-C601-972E2FCABD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080.512266898149" createdVersion="8" refreshedVersion="8" minRefreshableVersion="3" recordCount="500" xr:uid="{77F0D02B-301C-CF4E-BDE7-9C03FA82F92A}">
  <cacheSource type="worksheet">
    <worksheetSource name="Tabla1"/>
  </cacheSource>
  <cacheFields count="10">
    <cacheField name="Fecha" numFmtId="14">
      <sharedItems containsSemiMixedTypes="0" containsNonDate="0" containsDate="1" containsString="0" minDate="2026-01-02T00:00:00" maxDate="2027-05-16T00:00:00" count="499"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0T00:00:00"/>
        <d v="2026-08-31T00:00:00"/>
        <d v="2026-09-01T00:00:00"/>
        <d v="2026-09-02T00:00:00"/>
        <d v="2026-09-03T00:00:00"/>
        <d v="2026-09-04T00:00:00"/>
        <d v="2026-09-05T00:00:00"/>
        <d v="2026-09-06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7T00:00:00"/>
        <d v="2026-09-28T00:00:00"/>
        <d v="2026-09-29T00:00:00"/>
        <d v="2026-09-30T00:00:00"/>
        <d v="2026-10-01T00:00:00"/>
        <d v="2026-10-02T00:00:00"/>
        <d v="2026-10-03T00:00:00"/>
        <d v="2026-10-04T00:00:00"/>
        <d v="2026-10-05T00:00:00"/>
        <d v="2026-10-06T00:00:00"/>
        <d v="2026-10-07T00:00:00"/>
        <d v="2026-10-08T00:00:00"/>
        <d v="2026-10-09T00:00:00"/>
        <d v="2026-10-10T00:00:00"/>
        <d v="2026-10-11T00:00:00"/>
        <d v="2026-10-12T00:00:00"/>
        <d v="2026-10-13T00:00:00"/>
        <d v="2026-10-14T00:00:00"/>
        <d v="2026-10-15T00:00:00"/>
        <d v="2026-10-16T00:00:00"/>
        <d v="2026-10-17T00:00:00"/>
        <d v="2026-10-18T00:00:00"/>
        <d v="2026-10-19T00:00:00"/>
        <d v="2026-10-20T00:00:00"/>
        <d v="2026-10-21T00:00:00"/>
        <d v="2026-10-22T00:00:00"/>
        <d v="2026-10-23T00:00:00"/>
        <d v="2026-10-24T00:00:00"/>
        <d v="2026-10-25T00:00:00"/>
        <d v="2026-10-26T00:00:00"/>
        <d v="2026-10-27T00:00:00"/>
        <d v="2026-10-28T00:00:00"/>
        <d v="2026-10-29T00:00:00"/>
        <d v="2026-10-30T00:00:00"/>
        <d v="2026-10-31T00:00:00"/>
        <d v="2026-11-01T00:00:00"/>
        <d v="2026-11-02T00:00:00"/>
        <d v="2026-11-03T00:00:00"/>
        <d v="2026-11-04T00:00:00"/>
        <d v="2026-11-05T00:00:00"/>
        <d v="2026-11-06T00:00:00"/>
        <d v="2026-11-07T00:00:00"/>
        <d v="2026-11-08T00:00:00"/>
        <d v="2026-11-09T00:00:00"/>
        <d v="2026-11-10T00:00:00"/>
        <d v="2026-11-11T00:00:00"/>
        <d v="2026-11-12T00:00:00"/>
        <d v="2026-11-13T00:00:00"/>
        <d v="2026-11-14T00:00:00"/>
        <d v="2026-11-15T00:00:00"/>
        <d v="2026-11-16T00:00:00"/>
        <d v="2026-11-17T00:00:00"/>
        <d v="2026-11-18T00:00:00"/>
        <d v="2026-11-19T00:00:00"/>
        <d v="2026-11-20T00:00:00"/>
        <d v="2026-11-21T00:00:00"/>
        <d v="2026-11-22T00:00:00"/>
        <d v="2026-11-23T00:00:00"/>
        <d v="2026-11-24T00:00:00"/>
        <d v="2026-11-25T00:00:00"/>
        <d v="2026-11-26T00:00:00"/>
        <d v="2026-11-27T00:00:00"/>
        <d v="2026-11-28T00:00:00"/>
        <d v="2026-11-29T00:00:00"/>
        <d v="2026-11-30T00:00:00"/>
        <d v="2026-12-01T00:00:00"/>
        <d v="2026-12-02T00:00:00"/>
        <d v="2026-12-03T00:00:00"/>
        <d v="2026-12-04T00:00:00"/>
        <d v="2026-12-05T00:00:00"/>
        <d v="2026-12-06T00:00:00"/>
        <d v="2026-12-07T00:00:00"/>
        <d v="2026-12-08T00:00:00"/>
        <d v="2026-12-09T00:00:00"/>
        <d v="2026-12-10T00:00:00"/>
        <d v="2026-12-11T00:00:00"/>
        <d v="2026-12-12T00:00:00"/>
        <d v="2026-12-13T00:00:00"/>
        <d v="2026-12-14T00:00:00"/>
        <d v="2026-12-15T00:00:00"/>
        <d v="2026-12-16T00:00:00"/>
        <d v="2026-12-17T00:00:00"/>
        <d v="2026-12-18T00:00:00"/>
        <d v="2026-12-19T00:00:00"/>
        <d v="2026-12-20T00:00:00"/>
        <d v="2026-12-21T00:00:00"/>
        <d v="2026-12-22T00:00:00"/>
        <d v="2026-12-23T00:00:00"/>
        <d v="2026-12-24T00:00:00"/>
        <d v="2026-12-25T00:00:00"/>
        <d v="2026-12-26T00:00:00"/>
        <d v="2026-12-27T00:00:00"/>
        <d v="2026-12-28T00:00:00"/>
        <d v="2026-12-29T00:00:00"/>
        <d v="2026-12-30T00:00:00"/>
        <d v="2026-12-31T00:00:00"/>
        <d v="2027-01-01T00:00:00"/>
        <d v="2027-01-02T00:00:00"/>
        <d v="2027-01-03T00:00:00"/>
        <d v="2027-01-04T00:00:00"/>
        <d v="2027-01-05T00:00:00"/>
        <d v="2027-01-06T00:00:00"/>
        <d v="2027-01-07T00:00:00"/>
        <d v="2027-01-08T00:00:00"/>
        <d v="2027-01-09T00:00:00"/>
        <d v="2027-01-10T00:00:00"/>
        <d v="2027-01-11T00:00:00"/>
        <d v="2027-01-12T00:00:00"/>
        <d v="2027-01-13T00:00:00"/>
        <d v="2027-01-14T00:00:00"/>
        <d v="2027-01-15T00:00:00"/>
        <d v="2027-01-16T00:00:00"/>
        <d v="2027-01-17T00:00:00"/>
        <d v="2027-01-18T00:00:00"/>
        <d v="2027-01-19T00:00:00"/>
        <d v="2027-01-20T00:00:00"/>
        <d v="2027-01-21T00:00:00"/>
        <d v="2027-01-22T00:00:00"/>
        <d v="2027-01-23T00:00:00"/>
        <d v="2027-01-24T00:00:00"/>
        <d v="2027-01-25T00:00:00"/>
        <d v="2027-01-26T00:00:00"/>
        <d v="2027-01-27T00:00:00"/>
        <d v="2027-01-28T00:00:00"/>
        <d v="2027-01-29T00:00:00"/>
        <d v="2027-01-30T00:00:00"/>
        <d v="2027-01-31T00:00:00"/>
        <d v="2027-02-01T00:00:00"/>
        <d v="2027-02-02T00:00:00"/>
        <d v="2027-02-03T00:00:00"/>
        <d v="2027-02-04T00:00:00"/>
        <d v="2027-02-05T00:00:00"/>
        <d v="2027-02-06T00:00:00"/>
        <d v="2027-02-07T00:00:00"/>
        <d v="2027-02-08T00:00:00"/>
        <d v="2027-02-09T00:00:00"/>
        <d v="2027-02-10T00:00:00"/>
        <d v="2027-02-11T00:00:00"/>
        <d v="2027-02-12T00:00:00"/>
        <d v="2027-02-13T00:00:00"/>
        <d v="2027-02-14T00:00:00"/>
        <d v="2027-02-15T00:00:00"/>
        <d v="2027-02-16T00:00:00"/>
        <d v="2027-02-17T00:00:00"/>
        <d v="2027-02-18T00:00:00"/>
        <d v="2027-02-19T00:00:00"/>
        <d v="2027-02-20T00:00:00"/>
        <d v="2027-02-21T00:00:00"/>
        <d v="2027-02-22T00:00:00"/>
        <d v="2027-02-23T00:00:00"/>
        <d v="2027-02-24T00:00:00"/>
        <d v="2027-02-25T00:00:00"/>
        <d v="2027-02-26T00:00:00"/>
        <d v="2027-02-27T00:00:00"/>
        <d v="2027-02-28T00:00:00"/>
        <d v="2027-03-01T00:00:00"/>
        <d v="2027-03-02T00:00:00"/>
        <d v="2027-03-03T00:00:00"/>
        <d v="2027-03-04T00:00:00"/>
        <d v="2027-03-05T00:00:00"/>
        <d v="2027-03-06T00:00:00"/>
        <d v="2027-03-07T00:00:00"/>
        <d v="2027-03-08T00:00:00"/>
        <d v="2027-03-09T00:00:00"/>
        <d v="2027-03-10T00:00:00"/>
        <d v="2027-03-11T00:00:00"/>
        <d v="2027-03-12T00:00:00"/>
        <d v="2027-03-13T00:00:00"/>
        <d v="2027-03-14T00:00:00"/>
        <d v="2027-03-15T00:00:00"/>
        <d v="2027-03-16T00:00:00"/>
        <d v="2027-03-17T00:00:00"/>
        <d v="2027-03-18T00:00:00"/>
        <d v="2027-03-19T00:00:00"/>
        <d v="2027-03-20T00:00:00"/>
        <d v="2027-03-21T00:00:00"/>
        <d v="2027-03-22T00:00:00"/>
        <d v="2027-03-23T00:00:00"/>
        <d v="2027-03-24T00:00:00"/>
        <d v="2027-03-25T00:00:00"/>
        <d v="2027-03-26T00:00:00"/>
        <d v="2027-03-27T00:00:00"/>
        <d v="2027-03-28T00:00:00"/>
        <d v="2027-03-29T00:00:00"/>
        <d v="2027-03-30T00:00:00"/>
        <d v="2027-03-31T00:00:00"/>
        <d v="2027-04-01T00:00:00"/>
        <d v="2027-04-02T00:00:00"/>
        <d v="2027-04-03T00:00:00"/>
        <d v="2027-04-04T00:00:00"/>
        <d v="2027-04-05T00:00:00"/>
        <d v="2027-04-06T00:00:00"/>
        <d v="2027-04-07T00:00:00"/>
        <d v="2027-04-08T00:00:00"/>
        <d v="2027-04-09T00:00:00"/>
        <d v="2027-04-10T00:00:00"/>
        <d v="2027-04-11T00:00:00"/>
        <d v="2027-04-12T00:00:00"/>
        <d v="2027-04-13T00:00:00"/>
        <d v="2027-04-14T00:00:00"/>
        <d v="2027-04-15T00:00:00"/>
        <d v="2027-04-16T00:00:00"/>
        <d v="2027-04-17T00:00:00"/>
        <d v="2027-04-18T00:00:00"/>
        <d v="2027-04-19T00:00:00"/>
        <d v="2027-04-20T00:00:00"/>
        <d v="2027-04-21T00:00:00"/>
        <d v="2027-04-22T00:00:00"/>
        <d v="2027-04-23T00:00:00"/>
        <d v="2027-04-24T00:00:00"/>
        <d v="2027-04-25T00:00:00"/>
        <d v="2027-04-26T00:00:00"/>
        <d v="2027-04-27T00:00:00"/>
        <d v="2027-04-28T00:00:00"/>
        <d v="2027-04-29T00:00:00"/>
        <d v="2027-04-30T00:00:00"/>
        <d v="2027-05-01T00:00:00"/>
        <d v="2027-05-02T00:00:00"/>
        <d v="2027-05-03T00:00:00"/>
        <d v="2027-05-04T00:00:00"/>
        <d v="2027-05-05T00:00:00"/>
        <d v="2027-05-06T00:00:00"/>
        <d v="2027-05-07T00:00:00"/>
        <d v="2027-05-08T00:00:00"/>
        <d v="2027-05-09T00:00:00"/>
        <d v="2027-05-10T00:00:00"/>
        <d v="2027-05-11T00:00:00"/>
        <d v="2027-05-12T00:00:00"/>
        <d v="2027-05-13T00:00:00"/>
        <d v="2027-05-14T00:00:00"/>
        <d v="2027-05-15T00:00:00"/>
      </sharedItems>
    </cacheField>
    <cacheField name="Año" numFmtId="0">
      <sharedItems containsSemiMixedTypes="0" containsString="0" containsNumber="1" containsInteger="1" minValue="2026" maxValue="2027" count="2">
        <n v="2026"/>
        <n v="2027"/>
      </sharedItems>
    </cacheField>
    <cacheField name="Mes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Tienda" numFmtId="0">
      <sharedItems count="5">
        <s v="Tienda B"/>
        <s v="Tienda E"/>
        <s v="Tienda C"/>
        <s v="Tienda D"/>
        <s v="Tienda A"/>
      </sharedItems>
    </cacheField>
    <cacheField name="Categoria de Producto" numFmtId="0">
      <sharedItems count="6">
        <s v="Juguetes"/>
        <s v="Hogar"/>
        <s v="Ropa"/>
        <s v="Electrónica"/>
        <s v="Deportes"/>
        <s v="Belleza"/>
      </sharedItems>
    </cacheField>
    <cacheField name="Vendedor" numFmtId="0">
      <sharedItems count="8">
        <s v="Lucía"/>
        <s v="María"/>
        <s v="Ana"/>
        <s v="José"/>
        <s v="Luis"/>
        <s v="Rosa"/>
        <s v="Pedro"/>
        <s v="Carlos"/>
      </sharedItems>
    </cacheField>
    <cacheField name="Producto" numFmtId="0">
      <sharedItems count="30">
        <s v="Puzzle 1000 piezas"/>
        <s v="Cafetera Delonghi"/>
        <s v="Pantalón Levi's"/>
        <s v="Smartphone Samsung"/>
        <s v="Ventilador Imaco"/>
        <s v="Polo Adidas"/>
        <s v="Casaca Puma"/>
        <s v="Smartwatch Apple"/>
        <s v="Guantes Everlast"/>
        <s v="Lego Star Wars"/>
        <s v="Drone para niños"/>
        <s v="Crema Nivea"/>
        <s v="Balón Adidas"/>
        <s v="Plancha Philips"/>
        <s v="Perfume Dior"/>
        <s v="Auriculares Sony"/>
        <s v="Licuadora Oster"/>
        <s v="Auto Hot Wheels"/>
        <s v="Secadora Philips"/>
        <s v="Cuerda para saltar"/>
        <s v="Maquillaje Maybelline"/>
        <s v="Camisa Lacoste"/>
        <s v="Zapatillas Nike"/>
        <s v="Bicicleta Trek"/>
        <s v="Microondas LG"/>
        <s v="Tablet Lenovo"/>
        <s v="Laptop HP"/>
        <s v="Raqueta Wilson"/>
        <s v="Plancha de cabello Remington"/>
        <s v="Muñeca Barbie"/>
      </sharedItems>
    </cacheField>
    <cacheField name="Cantidad" numFmtId="0">
      <sharedItems containsSemiMixedTypes="0" containsString="0" containsNumber="1" containsInteger="1" minValue="1" maxValue="10"/>
    </cacheField>
    <cacheField name="Precio" numFmtId="44">
      <sharedItems containsSemiMixedTypes="0" containsString="0" containsNumber="1" minValue="20.37" maxValue="1499.62"/>
    </cacheField>
    <cacheField name="Total" numFmtId="44">
      <sharedItems containsSemiMixedTypes="0" containsString="0" containsNumber="1" minValue="26.69" maxValue="14946.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x v="0"/>
    <x v="0"/>
    <x v="0"/>
    <x v="0"/>
    <x v="0"/>
    <x v="0"/>
    <x v="0"/>
    <n v="6"/>
    <n v="625.01"/>
    <n v="3750.06"/>
  </r>
  <r>
    <x v="0"/>
    <x v="0"/>
    <x v="0"/>
    <x v="1"/>
    <x v="1"/>
    <x v="1"/>
    <x v="1"/>
    <n v="1"/>
    <n v="84.42"/>
    <n v="84.42"/>
  </r>
  <r>
    <x v="1"/>
    <x v="0"/>
    <x v="0"/>
    <x v="2"/>
    <x v="2"/>
    <x v="1"/>
    <x v="2"/>
    <n v="5"/>
    <n v="560.97"/>
    <n v="2804.85"/>
  </r>
  <r>
    <x v="2"/>
    <x v="0"/>
    <x v="0"/>
    <x v="3"/>
    <x v="3"/>
    <x v="2"/>
    <x v="3"/>
    <n v="10"/>
    <n v="1197.81"/>
    <n v="11978.1"/>
  </r>
  <r>
    <x v="3"/>
    <x v="0"/>
    <x v="0"/>
    <x v="1"/>
    <x v="1"/>
    <x v="1"/>
    <x v="4"/>
    <n v="2"/>
    <n v="349.98"/>
    <n v="699.96"/>
  </r>
  <r>
    <x v="4"/>
    <x v="0"/>
    <x v="0"/>
    <x v="3"/>
    <x v="2"/>
    <x v="3"/>
    <x v="5"/>
    <n v="7"/>
    <n v="353.77"/>
    <n v="2476.39"/>
  </r>
  <r>
    <x v="5"/>
    <x v="0"/>
    <x v="0"/>
    <x v="1"/>
    <x v="2"/>
    <x v="3"/>
    <x v="6"/>
    <n v="3"/>
    <n v="821.79"/>
    <n v="2465.37"/>
  </r>
  <r>
    <x v="6"/>
    <x v="0"/>
    <x v="0"/>
    <x v="4"/>
    <x v="3"/>
    <x v="3"/>
    <x v="7"/>
    <n v="9"/>
    <n v="575.49"/>
    <n v="5179.41"/>
  </r>
  <r>
    <x v="7"/>
    <x v="0"/>
    <x v="0"/>
    <x v="1"/>
    <x v="4"/>
    <x v="2"/>
    <x v="8"/>
    <n v="3"/>
    <n v="1180.1500000000001"/>
    <n v="3540.45"/>
  </r>
  <r>
    <x v="8"/>
    <x v="0"/>
    <x v="0"/>
    <x v="0"/>
    <x v="0"/>
    <x v="4"/>
    <x v="9"/>
    <n v="8"/>
    <n v="948.14"/>
    <n v="7585.12"/>
  </r>
  <r>
    <x v="9"/>
    <x v="0"/>
    <x v="0"/>
    <x v="1"/>
    <x v="1"/>
    <x v="0"/>
    <x v="1"/>
    <n v="7"/>
    <n v="1439.39"/>
    <n v="10075.73"/>
  </r>
  <r>
    <x v="10"/>
    <x v="0"/>
    <x v="0"/>
    <x v="1"/>
    <x v="0"/>
    <x v="4"/>
    <x v="10"/>
    <n v="6"/>
    <n v="242.24"/>
    <n v="1453.44"/>
  </r>
  <r>
    <x v="11"/>
    <x v="0"/>
    <x v="0"/>
    <x v="1"/>
    <x v="5"/>
    <x v="4"/>
    <x v="11"/>
    <n v="2"/>
    <n v="1046.6199999999999"/>
    <n v="2093.2399999999998"/>
  </r>
  <r>
    <x v="12"/>
    <x v="0"/>
    <x v="0"/>
    <x v="0"/>
    <x v="4"/>
    <x v="4"/>
    <x v="12"/>
    <n v="7"/>
    <n v="35.19"/>
    <n v="246.33"/>
  </r>
  <r>
    <x v="13"/>
    <x v="0"/>
    <x v="0"/>
    <x v="0"/>
    <x v="1"/>
    <x v="0"/>
    <x v="13"/>
    <n v="1"/>
    <n v="828.19"/>
    <n v="828.19"/>
  </r>
  <r>
    <x v="14"/>
    <x v="0"/>
    <x v="0"/>
    <x v="3"/>
    <x v="5"/>
    <x v="4"/>
    <x v="14"/>
    <n v="8"/>
    <n v="562.22"/>
    <n v="4497.76"/>
  </r>
  <r>
    <x v="15"/>
    <x v="0"/>
    <x v="0"/>
    <x v="2"/>
    <x v="3"/>
    <x v="1"/>
    <x v="15"/>
    <n v="6"/>
    <n v="971.14"/>
    <n v="5826.84"/>
  </r>
  <r>
    <x v="16"/>
    <x v="0"/>
    <x v="0"/>
    <x v="4"/>
    <x v="1"/>
    <x v="4"/>
    <x v="13"/>
    <n v="7"/>
    <n v="921.18"/>
    <n v="6448.26"/>
  </r>
  <r>
    <x v="17"/>
    <x v="0"/>
    <x v="0"/>
    <x v="3"/>
    <x v="4"/>
    <x v="1"/>
    <x v="8"/>
    <n v="3"/>
    <n v="468.57"/>
    <n v="1405.71"/>
  </r>
  <r>
    <x v="18"/>
    <x v="0"/>
    <x v="0"/>
    <x v="3"/>
    <x v="1"/>
    <x v="4"/>
    <x v="16"/>
    <n v="10"/>
    <n v="1132.23"/>
    <n v="11322.3"/>
  </r>
  <r>
    <x v="19"/>
    <x v="0"/>
    <x v="0"/>
    <x v="2"/>
    <x v="0"/>
    <x v="5"/>
    <x v="10"/>
    <n v="10"/>
    <n v="124.49"/>
    <n v="1244.9000000000001"/>
  </r>
  <r>
    <x v="20"/>
    <x v="0"/>
    <x v="0"/>
    <x v="3"/>
    <x v="2"/>
    <x v="0"/>
    <x v="5"/>
    <n v="3"/>
    <n v="791.73"/>
    <n v="2375.19"/>
  </r>
  <r>
    <x v="21"/>
    <x v="0"/>
    <x v="0"/>
    <x v="1"/>
    <x v="0"/>
    <x v="0"/>
    <x v="17"/>
    <n v="7"/>
    <n v="1334.38"/>
    <n v="9340.66"/>
  </r>
  <r>
    <x v="22"/>
    <x v="0"/>
    <x v="0"/>
    <x v="2"/>
    <x v="2"/>
    <x v="2"/>
    <x v="2"/>
    <n v="2"/>
    <n v="738.55"/>
    <n v="1477.1"/>
  </r>
  <r>
    <x v="23"/>
    <x v="0"/>
    <x v="0"/>
    <x v="1"/>
    <x v="5"/>
    <x v="6"/>
    <x v="18"/>
    <n v="3"/>
    <n v="51.06"/>
    <n v="153.18"/>
  </r>
  <r>
    <x v="24"/>
    <x v="0"/>
    <x v="0"/>
    <x v="3"/>
    <x v="4"/>
    <x v="2"/>
    <x v="19"/>
    <n v="9"/>
    <n v="1055.75"/>
    <n v="9501.75"/>
  </r>
  <r>
    <x v="25"/>
    <x v="0"/>
    <x v="0"/>
    <x v="3"/>
    <x v="2"/>
    <x v="6"/>
    <x v="6"/>
    <n v="10"/>
    <n v="137.61000000000001"/>
    <n v="1376.1"/>
  </r>
  <r>
    <x v="26"/>
    <x v="0"/>
    <x v="0"/>
    <x v="2"/>
    <x v="2"/>
    <x v="5"/>
    <x v="6"/>
    <n v="4"/>
    <n v="610.54"/>
    <n v="2442.16"/>
  </r>
  <r>
    <x v="27"/>
    <x v="0"/>
    <x v="0"/>
    <x v="4"/>
    <x v="5"/>
    <x v="7"/>
    <x v="20"/>
    <n v="7"/>
    <n v="624.38"/>
    <n v="4370.66"/>
  </r>
  <r>
    <x v="28"/>
    <x v="0"/>
    <x v="0"/>
    <x v="2"/>
    <x v="2"/>
    <x v="2"/>
    <x v="21"/>
    <n v="5"/>
    <n v="529.52"/>
    <n v="2647.6"/>
  </r>
  <r>
    <x v="29"/>
    <x v="0"/>
    <x v="0"/>
    <x v="1"/>
    <x v="1"/>
    <x v="7"/>
    <x v="4"/>
    <n v="9"/>
    <n v="1452.03"/>
    <n v="13068.27"/>
  </r>
  <r>
    <x v="30"/>
    <x v="0"/>
    <x v="1"/>
    <x v="3"/>
    <x v="0"/>
    <x v="3"/>
    <x v="17"/>
    <n v="3"/>
    <n v="691.78"/>
    <n v="2075.34"/>
  </r>
  <r>
    <x v="31"/>
    <x v="0"/>
    <x v="1"/>
    <x v="3"/>
    <x v="0"/>
    <x v="3"/>
    <x v="10"/>
    <n v="4"/>
    <n v="1044.31"/>
    <n v="4177.24"/>
  </r>
  <r>
    <x v="32"/>
    <x v="0"/>
    <x v="1"/>
    <x v="1"/>
    <x v="4"/>
    <x v="3"/>
    <x v="19"/>
    <n v="10"/>
    <n v="916.87"/>
    <n v="9168.7000000000007"/>
  </r>
  <r>
    <x v="33"/>
    <x v="0"/>
    <x v="1"/>
    <x v="4"/>
    <x v="0"/>
    <x v="6"/>
    <x v="17"/>
    <n v="7"/>
    <n v="281.01"/>
    <n v="1967.07"/>
  </r>
  <r>
    <x v="34"/>
    <x v="0"/>
    <x v="1"/>
    <x v="1"/>
    <x v="2"/>
    <x v="6"/>
    <x v="22"/>
    <n v="9"/>
    <n v="1322.93"/>
    <n v="11906.37"/>
  </r>
  <r>
    <x v="35"/>
    <x v="0"/>
    <x v="1"/>
    <x v="1"/>
    <x v="5"/>
    <x v="3"/>
    <x v="11"/>
    <n v="4"/>
    <n v="1441.24"/>
    <n v="5764.96"/>
  </r>
  <r>
    <x v="36"/>
    <x v="0"/>
    <x v="1"/>
    <x v="0"/>
    <x v="5"/>
    <x v="6"/>
    <x v="14"/>
    <n v="4"/>
    <n v="74.849999999999994"/>
    <n v="299.39999999999998"/>
  </r>
  <r>
    <x v="37"/>
    <x v="0"/>
    <x v="1"/>
    <x v="3"/>
    <x v="4"/>
    <x v="6"/>
    <x v="23"/>
    <n v="10"/>
    <n v="1242.53"/>
    <n v="12425.3"/>
  </r>
  <r>
    <x v="38"/>
    <x v="0"/>
    <x v="1"/>
    <x v="0"/>
    <x v="2"/>
    <x v="3"/>
    <x v="2"/>
    <n v="2"/>
    <n v="63.27"/>
    <n v="126.54"/>
  </r>
  <r>
    <x v="39"/>
    <x v="0"/>
    <x v="1"/>
    <x v="0"/>
    <x v="3"/>
    <x v="2"/>
    <x v="7"/>
    <n v="6"/>
    <n v="1115.8499999999999"/>
    <n v="6695.1"/>
  </r>
  <r>
    <x v="40"/>
    <x v="0"/>
    <x v="1"/>
    <x v="3"/>
    <x v="5"/>
    <x v="0"/>
    <x v="14"/>
    <n v="1"/>
    <n v="160.01"/>
    <n v="160.01"/>
  </r>
  <r>
    <x v="41"/>
    <x v="0"/>
    <x v="1"/>
    <x v="1"/>
    <x v="2"/>
    <x v="5"/>
    <x v="5"/>
    <n v="8"/>
    <n v="1094.06"/>
    <n v="8752.48"/>
  </r>
  <r>
    <x v="42"/>
    <x v="0"/>
    <x v="1"/>
    <x v="2"/>
    <x v="0"/>
    <x v="7"/>
    <x v="0"/>
    <n v="3"/>
    <n v="1159.1500000000001"/>
    <n v="3477.45"/>
  </r>
  <r>
    <x v="43"/>
    <x v="0"/>
    <x v="1"/>
    <x v="2"/>
    <x v="1"/>
    <x v="2"/>
    <x v="24"/>
    <n v="10"/>
    <n v="1172.8499999999999"/>
    <n v="11728.5"/>
  </r>
  <r>
    <x v="44"/>
    <x v="0"/>
    <x v="1"/>
    <x v="4"/>
    <x v="5"/>
    <x v="5"/>
    <x v="11"/>
    <n v="6"/>
    <n v="1265.68"/>
    <n v="7594.08"/>
  </r>
  <r>
    <x v="45"/>
    <x v="0"/>
    <x v="1"/>
    <x v="0"/>
    <x v="2"/>
    <x v="1"/>
    <x v="2"/>
    <n v="2"/>
    <n v="1012.88"/>
    <n v="2025.76"/>
  </r>
  <r>
    <x v="46"/>
    <x v="0"/>
    <x v="1"/>
    <x v="2"/>
    <x v="2"/>
    <x v="7"/>
    <x v="2"/>
    <n v="7"/>
    <n v="397.61"/>
    <n v="2783.27"/>
  </r>
  <r>
    <x v="47"/>
    <x v="0"/>
    <x v="1"/>
    <x v="0"/>
    <x v="2"/>
    <x v="7"/>
    <x v="2"/>
    <n v="2"/>
    <n v="200.42"/>
    <n v="400.84"/>
  </r>
  <r>
    <x v="48"/>
    <x v="0"/>
    <x v="1"/>
    <x v="2"/>
    <x v="0"/>
    <x v="1"/>
    <x v="0"/>
    <n v="4"/>
    <n v="1152.99"/>
    <n v="4611.96"/>
  </r>
  <r>
    <x v="49"/>
    <x v="0"/>
    <x v="1"/>
    <x v="3"/>
    <x v="3"/>
    <x v="3"/>
    <x v="25"/>
    <n v="2"/>
    <n v="308.88"/>
    <n v="617.76"/>
  </r>
  <r>
    <x v="50"/>
    <x v="0"/>
    <x v="1"/>
    <x v="1"/>
    <x v="1"/>
    <x v="7"/>
    <x v="24"/>
    <n v="7"/>
    <n v="1391.47"/>
    <n v="9740.2900000000009"/>
  </r>
  <r>
    <x v="51"/>
    <x v="0"/>
    <x v="1"/>
    <x v="1"/>
    <x v="5"/>
    <x v="2"/>
    <x v="11"/>
    <n v="3"/>
    <n v="1372.26"/>
    <n v="4116.78"/>
  </r>
  <r>
    <x v="52"/>
    <x v="0"/>
    <x v="1"/>
    <x v="4"/>
    <x v="2"/>
    <x v="5"/>
    <x v="6"/>
    <n v="5"/>
    <n v="967.49"/>
    <n v="4837.45"/>
  </r>
  <r>
    <x v="53"/>
    <x v="0"/>
    <x v="1"/>
    <x v="3"/>
    <x v="5"/>
    <x v="5"/>
    <x v="20"/>
    <n v="2"/>
    <n v="384.9"/>
    <n v="769.8"/>
  </r>
  <r>
    <x v="54"/>
    <x v="0"/>
    <x v="1"/>
    <x v="3"/>
    <x v="3"/>
    <x v="5"/>
    <x v="3"/>
    <n v="8"/>
    <n v="280.04000000000002"/>
    <n v="2240.3200000000002"/>
  </r>
  <r>
    <x v="55"/>
    <x v="0"/>
    <x v="1"/>
    <x v="1"/>
    <x v="4"/>
    <x v="5"/>
    <x v="8"/>
    <n v="1"/>
    <n v="1426.09"/>
    <n v="1426.09"/>
  </r>
  <r>
    <x v="56"/>
    <x v="0"/>
    <x v="1"/>
    <x v="1"/>
    <x v="3"/>
    <x v="5"/>
    <x v="3"/>
    <n v="5"/>
    <n v="68.88"/>
    <n v="344.4"/>
  </r>
  <r>
    <x v="57"/>
    <x v="0"/>
    <x v="1"/>
    <x v="3"/>
    <x v="1"/>
    <x v="0"/>
    <x v="1"/>
    <n v="5"/>
    <n v="441.13"/>
    <n v="2205.65"/>
  </r>
  <r>
    <x v="58"/>
    <x v="0"/>
    <x v="2"/>
    <x v="1"/>
    <x v="3"/>
    <x v="5"/>
    <x v="26"/>
    <n v="6"/>
    <n v="1077.0899999999999"/>
    <n v="6462.54"/>
  </r>
  <r>
    <x v="59"/>
    <x v="0"/>
    <x v="2"/>
    <x v="1"/>
    <x v="3"/>
    <x v="0"/>
    <x v="26"/>
    <n v="4"/>
    <n v="1066.71"/>
    <n v="4266.84"/>
  </r>
  <r>
    <x v="60"/>
    <x v="0"/>
    <x v="2"/>
    <x v="3"/>
    <x v="4"/>
    <x v="6"/>
    <x v="27"/>
    <n v="8"/>
    <n v="817.81"/>
    <n v="6542.48"/>
  </r>
  <r>
    <x v="61"/>
    <x v="0"/>
    <x v="2"/>
    <x v="3"/>
    <x v="0"/>
    <x v="2"/>
    <x v="10"/>
    <n v="3"/>
    <n v="1251.23"/>
    <n v="3753.69"/>
  </r>
  <r>
    <x v="62"/>
    <x v="0"/>
    <x v="2"/>
    <x v="1"/>
    <x v="4"/>
    <x v="6"/>
    <x v="23"/>
    <n v="4"/>
    <n v="1106.17"/>
    <n v="4424.68"/>
  </r>
  <r>
    <x v="63"/>
    <x v="0"/>
    <x v="2"/>
    <x v="0"/>
    <x v="5"/>
    <x v="4"/>
    <x v="14"/>
    <n v="4"/>
    <n v="312.31"/>
    <n v="1249.24"/>
  </r>
  <r>
    <x v="64"/>
    <x v="0"/>
    <x v="2"/>
    <x v="0"/>
    <x v="5"/>
    <x v="6"/>
    <x v="14"/>
    <n v="8"/>
    <n v="553.84"/>
    <n v="4430.72"/>
  </r>
  <r>
    <x v="65"/>
    <x v="0"/>
    <x v="2"/>
    <x v="0"/>
    <x v="1"/>
    <x v="1"/>
    <x v="4"/>
    <n v="4"/>
    <n v="385.36"/>
    <n v="1541.44"/>
  </r>
  <r>
    <x v="66"/>
    <x v="0"/>
    <x v="2"/>
    <x v="2"/>
    <x v="4"/>
    <x v="3"/>
    <x v="12"/>
    <n v="10"/>
    <n v="854.28"/>
    <n v="8542.7999999999993"/>
  </r>
  <r>
    <x v="67"/>
    <x v="0"/>
    <x v="2"/>
    <x v="0"/>
    <x v="1"/>
    <x v="2"/>
    <x v="24"/>
    <n v="9"/>
    <n v="189.32"/>
    <n v="1703.88"/>
  </r>
  <r>
    <x v="68"/>
    <x v="0"/>
    <x v="2"/>
    <x v="3"/>
    <x v="5"/>
    <x v="1"/>
    <x v="14"/>
    <n v="2"/>
    <n v="485.97"/>
    <n v="971.94"/>
  </r>
  <r>
    <x v="69"/>
    <x v="0"/>
    <x v="2"/>
    <x v="4"/>
    <x v="5"/>
    <x v="6"/>
    <x v="11"/>
    <n v="4"/>
    <n v="948.87"/>
    <n v="3795.48"/>
  </r>
  <r>
    <x v="70"/>
    <x v="0"/>
    <x v="2"/>
    <x v="2"/>
    <x v="0"/>
    <x v="3"/>
    <x v="10"/>
    <n v="9"/>
    <n v="1223.9100000000001"/>
    <n v="11015.19"/>
  </r>
  <r>
    <x v="71"/>
    <x v="0"/>
    <x v="2"/>
    <x v="4"/>
    <x v="2"/>
    <x v="6"/>
    <x v="22"/>
    <n v="4"/>
    <n v="258.83999999999997"/>
    <n v="1035.3599999999999"/>
  </r>
  <r>
    <x v="72"/>
    <x v="0"/>
    <x v="2"/>
    <x v="1"/>
    <x v="5"/>
    <x v="4"/>
    <x v="28"/>
    <n v="8"/>
    <n v="429.77"/>
    <n v="3438.16"/>
  </r>
  <r>
    <x v="73"/>
    <x v="0"/>
    <x v="2"/>
    <x v="4"/>
    <x v="2"/>
    <x v="5"/>
    <x v="6"/>
    <n v="2"/>
    <n v="1210.24"/>
    <n v="2420.48"/>
  </r>
  <r>
    <x v="74"/>
    <x v="0"/>
    <x v="2"/>
    <x v="0"/>
    <x v="2"/>
    <x v="7"/>
    <x v="6"/>
    <n v="2"/>
    <n v="239.95"/>
    <n v="479.9"/>
  </r>
  <r>
    <x v="75"/>
    <x v="0"/>
    <x v="2"/>
    <x v="0"/>
    <x v="3"/>
    <x v="0"/>
    <x v="26"/>
    <n v="2"/>
    <n v="186.58"/>
    <n v="373.16"/>
  </r>
  <r>
    <x v="76"/>
    <x v="0"/>
    <x v="2"/>
    <x v="2"/>
    <x v="4"/>
    <x v="3"/>
    <x v="8"/>
    <n v="8"/>
    <n v="298.54000000000002"/>
    <n v="2388.3200000000002"/>
  </r>
  <r>
    <x v="77"/>
    <x v="0"/>
    <x v="2"/>
    <x v="1"/>
    <x v="3"/>
    <x v="3"/>
    <x v="25"/>
    <n v="10"/>
    <n v="784.21"/>
    <n v="7842.1"/>
  </r>
  <r>
    <x v="78"/>
    <x v="0"/>
    <x v="2"/>
    <x v="2"/>
    <x v="2"/>
    <x v="1"/>
    <x v="6"/>
    <n v="10"/>
    <n v="1097.97"/>
    <n v="10979.7"/>
  </r>
  <r>
    <x v="79"/>
    <x v="0"/>
    <x v="2"/>
    <x v="3"/>
    <x v="5"/>
    <x v="1"/>
    <x v="18"/>
    <n v="1"/>
    <n v="1293.24"/>
    <n v="1293.24"/>
  </r>
  <r>
    <x v="80"/>
    <x v="0"/>
    <x v="2"/>
    <x v="0"/>
    <x v="3"/>
    <x v="0"/>
    <x v="7"/>
    <n v="2"/>
    <n v="1326.18"/>
    <n v="2652.36"/>
  </r>
  <r>
    <x v="81"/>
    <x v="0"/>
    <x v="2"/>
    <x v="1"/>
    <x v="3"/>
    <x v="6"/>
    <x v="15"/>
    <n v="7"/>
    <n v="1470.51"/>
    <n v="10293.57"/>
  </r>
  <r>
    <x v="82"/>
    <x v="0"/>
    <x v="2"/>
    <x v="3"/>
    <x v="2"/>
    <x v="7"/>
    <x v="5"/>
    <n v="7"/>
    <n v="847.93"/>
    <n v="5935.51"/>
  </r>
  <r>
    <x v="83"/>
    <x v="0"/>
    <x v="2"/>
    <x v="0"/>
    <x v="0"/>
    <x v="0"/>
    <x v="9"/>
    <n v="6"/>
    <n v="1002.34"/>
    <n v="6014.04"/>
  </r>
  <r>
    <x v="84"/>
    <x v="0"/>
    <x v="2"/>
    <x v="3"/>
    <x v="2"/>
    <x v="3"/>
    <x v="21"/>
    <n v="9"/>
    <n v="92.72"/>
    <n v="834.48"/>
  </r>
  <r>
    <x v="85"/>
    <x v="0"/>
    <x v="2"/>
    <x v="1"/>
    <x v="1"/>
    <x v="7"/>
    <x v="4"/>
    <n v="1"/>
    <n v="1233.1400000000001"/>
    <n v="1233.1400000000001"/>
  </r>
  <r>
    <x v="86"/>
    <x v="0"/>
    <x v="2"/>
    <x v="1"/>
    <x v="1"/>
    <x v="4"/>
    <x v="16"/>
    <n v="6"/>
    <n v="711.2"/>
    <n v="4267.2"/>
  </r>
  <r>
    <x v="87"/>
    <x v="0"/>
    <x v="2"/>
    <x v="4"/>
    <x v="1"/>
    <x v="0"/>
    <x v="24"/>
    <n v="3"/>
    <n v="1497.11"/>
    <n v="4491.33"/>
  </r>
  <r>
    <x v="88"/>
    <x v="0"/>
    <x v="2"/>
    <x v="4"/>
    <x v="4"/>
    <x v="1"/>
    <x v="8"/>
    <n v="7"/>
    <n v="733.48"/>
    <n v="5134.3599999999997"/>
  </r>
  <r>
    <x v="89"/>
    <x v="0"/>
    <x v="3"/>
    <x v="3"/>
    <x v="1"/>
    <x v="5"/>
    <x v="1"/>
    <n v="5"/>
    <n v="526.96"/>
    <n v="2634.8"/>
  </r>
  <r>
    <x v="90"/>
    <x v="0"/>
    <x v="3"/>
    <x v="3"/>
    <x v="5"/>
    <x v="7"/>
    <x v="14"/>
    <n v="9"/>
    <n v="1131.6500000000001"/>
    <n v="10184.85"/>
  </r>
  <r>
    <x v="91"/>
    <x v="0"/>
    <x v="3"/>
    <x v="2"/>
    <x v="3"/>
    <x v="7"/>
    <x v="3"/>
    <n v="6"/>
    <n v="328.21"/>
    <n v="1969.26"/>
  </r>
  <r>
    <x v="92"/>
    <x v="0"/>
    <x v="3"/>
    <x v="4"/>
    <x v="2"/>
    <x v="7"/>
    <x v="22"/>
    <n v="2"/>
    <n v="373.38"/>
    <n v="746.76"/>
  </r>
  <r>
    <x v="93"/>
    <x v="0"/>
    <x v="3"/>
    <x v="4"/>
    <x v="0"/>
    <x v="1"/>
    <x v="10"/>
    <n v="1"/>
    <n v="380.68"/>
    <n v="380.68"/>
  </r>
  <r>
    <x v="94"/>
    <x v="0"/>
    <x v="3"/>
    <x v="2"/>
    <x v="1"/>
    <x v="2"/>
    <x v="13"/>
    <n v="2"/>
    <n v="1461.64"/>
    <n v="2923.28"/>
  </r>
  <r>
    <x v="95"/>
    <x v="0"/>
    <x v="3"/>
    <x v="4"/>
    <x v="4"/>
    <x v="5"/>
    <x v="27"/>
    <n v="1"/>
    <n v="1304.1099999999999"/>
    <n v="1304.1099999999999"/>
  </r>
  <r>
    <x v="96"/>
    <x v="0"/>
    <x v="3"/>
    <x v="4"/>
    <x v="3"/>
    <x v="7"/>
    <x v="3"/>
    <n v="4"/>
    <n v="242.72"/>
    <n v="970.88"/>
  </r>
  <r>
    <x v="97"/>
    <x v="0"/>
    <x v="3"/>
    <x v="4"/>
    <x v="0"/>
    <x v="6"/>
    <x v="0"/>
    <n v="8"/>
    <n v="1099.96"/>
    <n v="8799.68"/>
  </r>
  <r>
    <x v="98"/>
    <x v="0"/>
    <x v="3"/>
    <x v="0"/>
    <x v="0"/>
    <x v="2"/>
    <x v="9"/>
    <n v="4"/>
    <n v="1253.25"/>
    <n v="5013"/>
  </r>
  <r>
    <x v="99"/>
    <x v="0"/>
    <x v="3"/>
    <x v="2"/>
    <x v="4"/>
    <x v="2"/>
    <x v="8"/>
    <n v="3"/>
    <n v="1019.2"/>
    <n v="3057.6"/>
  </r>
  <r>
    <x v="100"/>
    <x v="0"/>
    <x v="3"/>
    <x v="2"/>
    <x v="4"/>
    <x v="0"/>
    <x v="23"/>
    <n v="5"/>
    <n v="626.76"/>
    <n v="3133.8"/>
  </r>
  <r>
    <x v="101"/>
    <x v="0"/>
    <x v="3"/>
    <x v="3"/>
    <x v="2"/>
    <x v="0"/>
    <x v="6"/>
    <n v="1"/>
    <n v="121.12"/>
    <n v="121.12"/>
  </r>
  <r>
    <x v="102"/>
    <x v="0"/>
    <x v="3"/>
    <x v="0"/>
    <x v="5"/>
    <x v="6"/>
    <x v="20"/>
    <n v="4"/>
    <n v="1385.47"/>
    <n v="5541.88"/>
  </r>
  <r>
    <x v="103"/>
    <x v="0"/>
    <x v="3"/>
    <x v="3"/>
    <x v="3"/>
    <x v="6"/>
    <x v="25"/>
    <n v="10"/>
    <n v="437.48"/>
    <n v="4374.8"/>
  </r>
  <r>
    <x v="104"/>
    <x v="0"/>
    <x v="3"/>
    <x v="0"/>
    <x v="3"/>
    <x v="3"/>
    <x v="7"/>
    <n v="7"/>
    <n v="55.81"/>
    <n v="390.67"/>
  </r>
  <r>
    <x v="105"/>
    <x v="0"/>
    <x v="3"/>
    <x v="1"/>
    <x v="3"/>
    <x v="1"/>
    <x v="7"/>
    <n v="8"/>
    <n v="518.47"/>
    <n v="4147.76"/>
  </r>
  <r>
    <x v="106"/>
    <x v="0"/>
    <x v="3"/>
    <x v="2"/>
    <x v="2"/>
    <x v="7"/>
    <x v="22"/>
    <n v="5"/>
    <n v="620.61"/>
    <n v="3103.05"/>
  </r>
  <r>
    <x v="107"/>
    <x v="0"/>
    <x v="3"/>
    <x v="2"/>
    <x v="5"/>
    <x v="2"/>
    <x v="14"/>
    <n v="10"/>
    <n v="188.31"/>
    <n v="1883.1"/>
  </r>
  <r>
    <x v="108"/>
    <x v="0"/>
    <x v="3"/>
    <x v="1"/>
    <x v="4"/>
    <x v="2"/>
    <x v="12"/>
    <n v="4"/>
    <n v="1246.4000000000001"/>
    <n v="4985.6000000000004"/>
  </r>
  <r>
    <x v="109"/>
    <x v="0"/>
    <x v="3"/>
    <x v="0"/>
    <x v="4"/>
    <x v="5"/>
    <x v="23"/>
    <n v="8"/>
    <n v="447.35"/>
    <n v="3578.8"/>
  </r>
  <r>
    <x v="110"/>
    <x v="0"/>
    <x v="3"/>
    <x v="0"/>
    <x v="2"/>
    <x v="1"/>
    <x v="5"/>
    <n v="8"/>
    <n v="521.35"/>
    <n v="4170.8"/>
  </r>
  <r>
    <x v="111"/>
    <x v="0"/>
    <x v="3"/>
    <x v="1"/>
    <x v="0"/>
    <x v="7"/>
    <x v="0"/>
    <n v="3"/>
    <n v="522.1"/>
    <n v="1566.3"/>
  </r>
  <r>
    <x v="112"/>
    <x v="0"/>
    <x v="3"/>
    <x v="2"/>
    <x v="4"/>
    <x v="6"/>
    <x v="23"/>
    <n v="2"/>
    <n v="893.07"/>
    <n v="1786.14"/>
  </r>
  <r>
    <x v="113"/>
    <x v="0"/>
    <x v="3"/>
    <x v="0"/>
    <x v="0"/>
    <x v="1"/>
    <x v="9"/>
    <n v="3"/>
    <n v="950.52"/>
    <n v="2851.56"/>
  </r>
  <r>
    <x v="114"/>
    <x v="0"/>
    <x v="3"/>
    <x v="0"/>
    <x v="2"/>
    <x v="6"/>
    <x v="5"/>
    <n v="3"/>
    <n v="1128.8699999999999"/>
    <n v="3386.61"/>
  </r>
  <r>
    <x v="115"/>
    <x v="0"/>
    <x v="3"/>
    <x v="0"/>
    <x v="4"/>
    <x v="1"/>
    <x v="12"/>
    <n v="1"/>
    <n v="1370.4"/>
    <n v="1370.4"/>
  </r>
  <r>
    <x v="116"/>
    <x v="0"/>
    <x v="3"/>
    <x v="0"/>
    <x v="5"/>
    <x v="0"/>
    <x v="14"/>
    <n v="5"/>
    <n v="1299.03"/>
    <n v="6495.15"/>
  </r>
  <r>
    <x v="117"/>
    <x v="0"/>
    <x v="3"/>
    <x v="3"/>
    <x v="0"/>
    <x v="6"/>
    <x v="10"/>
    <n v="1"/>
    <n v="221.11"/>
    <n v="221.11"/>
  </r>
  <r>
    <x v="118"/>
    <x v="0"/>
    <x v="3"/>
    <x v="4"/>
    <x v="0"/>
    <x v="3"/>
    <x v="0"/>
    <n v="10"/>
    <n v="1124"/>
    <n v="11240"/>
  </r>
  <r>
    <x v="119"/>
    <x v="0"/>
    <x v="4"/>
    <x v="1"/>
    <x v="5"/>
    <x v="3"/>
    <x v="20"/>
    <n v="1"/>
    <n v="852.51"/>
    <n v="852.51"/>
  </r>
  <r>
    <x v="120"/>
    <x v="0"/>
    <x v="4"/>
    <x v="0"/>
    <x v="4"/>
    <x v="2"/>
    <x v="23"/>
    <n v="10"/>
    <n v="1053.3"/>
    <n v="10533"/>
  </r>
  <r>
    <x v="121"/>
    <x v="0"/>
    <x v="4"/>
    <x v="3"/>
    <x v="2"/>
    <x v="7"/>
    <x v="5"/>
    <n v="5"/>
    <n v="1146.79"/>
    <n v="5733.95"/>
  </r>
  <r>
    <x v="122"/>
    <x v="0"/>
    <x v="4"/>
    <x v="1"/>
    <x v="4"/>
    <x v="3"/>
    <x v="23"/>
    <n v="9"/>
    <n v="699.9"/>
    <n v="6299.1"/>
  </r>
  <r>
    <x v="123"/>
    <x v="0"/>
    <x v="4"/>
    <x v="0"/>
    <x v="2"/>
    <x v="7"/>
    <x v="21"/>
    <n v="2"/>
    <n v="244.6"/>
    <n v="489.2"/>
  </r>
  <r>
    <x v="124"/>
    <x v="0"/>
    <x v="4"/>
    <x v="2"/>
    <x v="2"/>
    <x v="6"/>
    <x v="21"/>
    <n v="5"/>
    <n v="413.19"/>
    <n v="2065.9499999999998"/>
  </r>
  <r>
    <x v="125"/>
    <x v="0"/>
    <x v="4"/>
    <x v="3"/>
    <x v="5"/>
    <x v="6"/>
    <x v="28"/>
    <n v="3"/>
    <n v="242.75"/>
    <n v="728.25"/>
  </r>
  <r>
    <x v="126"/>
    <x v="0"/>
    <x v="4"/>
    <x v="4"/>
    <x v="3"/>
    <x v="3"/>
    <x v="26"/>
    <n v="6"/>
    <n v="415.84"/>
    <n v="2495.04"/>
  </r>
  <r>
    <x v="127"/>
    <x v="0"/>
    <x v="4"/>
    <x v="4"/>
    <x v="1"/>
    <x v="2"/>
    <x v="13"/>
    <n v="6"/>
    <n v="272.99"/>
    <n v="1637.94"/>
  </r>
  <r>
    <x v="128"/>
    <x v="0"/>
    <x v="4"/>
    <x v="0"/>
    <x v="3"/>
    <x v="2"/>
    <x v="7"/>
    <n v="1"/>
    <n v="333"/>
    <n v="333"/>
  </r>
  <r>
    <x v="129"/>
    <x v="0"/>
    <x v="4"/>
    <x v="0"/>
    <x v="0"/>
    <x v="2"/>
    <x v="29"/>
    <n v="1"/>
    <n v="550.97"/>
    <n v="550.97"/>
  </r>
  <r>
    <x v="130"/>
    <x v="0"/>
    <x v="4"/>
    <x v="4"/>
    <x v="1"/>
    <x v="7"/>
    <x v="1"/>
    <n v="8"/>
    <n v="1102.3499999999999"/>
    <n v="8818.7999999999993"/>
  </r>
  <r>
    <x v="131"/>
    <x v="0"/>
    <x v="4"/>
    <x v="4"/>
    <x v="0"/>
    <x v="6"/>
    <x v="0"/>
    <n v="6"/>
    <n v="893.93"/>
    <n v="5363.58"/>
  </r>
  <r>
    <x v="132"/>
    <x v="0"/>
    <x v="4"/>
    <x v="1"/>
    <x v="4"/>
    <x v="1"/>
    <x v="27"/>
    <n v="3"/>
    <n v="1419.71"/>
    <n v="4259.13"/>
  </r>
  <r>
    <x v="133"/>
    <x v="0"/>
    <x v="4"/>
    <x v="4"/>
    <x v="5"/>
    <x v="7"/>
    <x v="11"/>
    <n v="7"/>
    <n v="799.18"/>
    <n v="5594.26"/>
  </r>
  <r>
    <x v="134"/>
    <x v="0"/>
    <x v="4"/>
    <x v="0"/>
    <x v="0"/>
    <x v="7"/>
    <x v="29"/>
    <n v="5"/>
    <n v="1037.23"/>
    <n v="5186.1499999999996"/>
  </r>
  <r>
    <x v="135"/>
    <x v="0"/>
    <x v="4"/>
    <x v="3"/>
    <x v="4"/>
    <x v="6"/>
    <x v="23"/>
    <n v="5"/>
    <n v="410.73"/>
    <n v="2053.65"/>
  </r>
  <r>
    <x v="136"/>
    <x v="0"/>
    <x v="4"/>
    <x v="1"/>
    <x v="3"/>
    <x v="6"/>
    <x v="15"/>
    <n v="5"/>
    <n v="1103.42"/>
    <n v="5517.1"/>
  </r>
  <r>
    <x v="137"/>
    <x v="0"/>
    <x v="4"/>
    <x v="0"/>
    <x v="4"/>
    <x v="7"/>
    <x v="12"/>
    <n v="10"/>
    <n v="901.73"/>
    <n v="9017.2999999999993"/>
  </r>
  <r>
    <x v="138"/>
    <x v="0"/>
    <x v="4"/>
    <x v="1"/>
    <x v="1"/>
    <x v="0"/>
    <x v="4"/>
    <n v="5"/>
    <n v="1341.51"/>
    <n v="6707.55"/>
  </r>
  <r>
    <x v="139"/>
    <x v="0"/>
    <x v="4"/>
    <x v="0"/>
    <x v="3"/>
    <x v="7"/>
    <x v="25"/>
    <n v="4"/>
    <n v="144.79"/>
    <n v="579.16"/>
  </r>
  <r>
    <x v="140"/>
    <x v="0"/>
    <x v="4"/>
    <x v="1"/>
    <x v="4"/>
    <x v="0"/>
    <x v="23"/>
    <n v="3"/>
    <n v="638.66"/>
    <n v="1915.98"/>
  </r>
  <r>
    <x v="141"/>
    <x v="0"/>
    <x v="4"/>
    <x v="1"/>
    <x v="4"/>
    <x v="1"/>
    <x v="27"/>
    <n v="10"/>
    <n v="647.66999999999996"/>
    <n v="6476.7"/>
  </r>
  <r>
    <x v="142"/>
    <x v="0"/>
    <x v="4"/>
    <x v="2"/>
    <x v="5"/>
    <x v="2"/>
    <x v="28"/>
    <n v="5"/>
    <n v="938.49"/>
    <n v="4692.45"/>
  </r>
  <r>
    <x v="143"/>
    <x v="0"/>
    <x v="4"/>
    <x v="2"/>
    <x v="2"/>
    <x v="1"/>
    <x v="6"/>
    <n v="3"/>
    <n v="33.200000000000003"/>
    <n v="99.6"/>
  </r>
  <r>
    <x v="144"/>
    <x v="0"/>
    <x v="4"/>
    <x v="0"/>
    <x v="5"/>
    <x v="7"/>
    <x v="18"/>
    <n v="8"/>
    <n v="1453.51"/>
    <n v="11628.08"/>
  </r>
  <r>
    <x v="145"/>
    <x v="0"/>
    <x v="4"/>
    <x v="3"/>
    <x v="3"/>
    <x v="6"/>
    <x v="7"/>
    <n v="6"/>
    <n v="109.18"/>
    <n v="655.08000000000004"/>
  </r>
  <r>
    <x v="146"/>
    <x v="0"/>
    <x v="4"/>
    <x v="0"/>
    <x v="3"/>
    <x v="6"/>
    <x v="26"/>
    <n v="3"/>
    <n v="1181.17"/>
    <n v="3543.51"/>
  </r>
  <r>
    <x v="147"/>
    <x v="0"/>
    <x v="4"/>
    <x v="4"/>
    <x v="0"/>
    <x v="0"/>
    <x v="0"/>
    <n v="1"/>
    <n v="540.91"/>
    <n v="540.91"/>
  </r>
  <r>
    <x v="148"/>
    <x v="0"/>
    <x v="4"/>
    <x v="0"/>
    <x v="3"/>
    <x v="0"/>
    <x v="3"/>
    <n v="9"/>
    <n v="819.05"/>
    <n v="7371.45"/>
  </r>
  <r>
    <x v="149"/>
    <x v="0"/>
    <x v="4"/>
    <x v="3"/>
    <x v="5"/>
    <x v="0"/>
    <x v="20"/>
    <n v="4"/>
    <n v="48.45"/>
    <n v="193.8"/>
  </r>
  <r>
    <x v="150"/>
    <x v="0"/>
    <x v="5"/>
    <x v="4"/>
    <x v="1"/>
    <x v="4"/>
    <x v="24"/>
    <n v="9"/>
    <n v="660.8"/>
    <n v="5947.2"/>
  </r>
  <r>
    <x v="151"/>
    <x v="0"/>
    <x v="5"/>
    <x v="0"/>
    <x v="3"/>
    <x v="1"/>
    <x v="7"/>
    <n v="1"/>
    <n v="528.01"/>
    <n v="528.01"/>
  </r>
  <r>
    <x v="152"/>
    <x v="0"/>
    <x v="5"/>
    <x v="0"/>
    <x v="1"/>
    <x v="2"/>
    <x v="24"/>
    <n v="4"/>
    <n v="753.11"/>
    <n v="3012.44"/>
  </r>
  <r>
    <x v="153"/>
    <x v="0"/>
    <x v="5"/>
    <x v="1"/>
    <x v="1"/>
    <x v="5"/>
    <x v="13"/>
    <n v="5"/>
    <n v="1169.3499999999999"/>
    <n v="5846.75"/>
  </r>
  <r>
    <x v="154"/>
    <x v="0"/>
    <x v="5"/>
    <x v="4"/>
    <x v="0"/>
    <x v="1"/>
    <x v="29"/>
    <n v="3"/>
    <n v="1296.8699999999999"/>
    <n v="3890.61"/>
  </r>
  <r>
    <x v="155"/>
    <x v="0"/>
    <x v="5"/>
    <x v="4"/>
    <x v="3"/>
    <x v="4"/>
    <x v="25"/>
    <n v="9"/>
    <n v="676.9"/>
    <n v="6092.1"/>
  </r>
  <r>
    <x v="156"/>
    <x v="0"/>
    <x v="5"/>
    <x v="1"/>
    <x v="4"/>
    <x v="4"/>
    <x v="19"/>
    <n v="8"/>
    <n v="198.09"/>
    <n v="1584.72"/>
  </r>
  <r>
    <x v="157"/>
    <x v="0"/>
    <x v="5"/>
    <x v="1"/>
    <x v="0"/>
    <x v="2"/>
    <x v="17"/>
    <n v="2"/>
    <n v="620.5"/>
    <n v="1241"/>
  </r>
  <r>
    <x v="158"/>
    <x v="0"/>
    <x v="5"/>
    <x v="1"/>
    <x v="2"/>
    <x v="6"/>
    <x v="2"/>
    <n v="7"/>
    <n v="1212.0999999999999"/>
    <n v="8484.7000000000007"/>
  </r>
  <r>
    <x v="159"/>
    <x v="0"/>
    <x v="5"/>
    <x v="3"/>
    <x v="3"/>
    <x v="1"/>
    <x v="26"/>
    <n v="2"/>
    <n v="1249.73"/>
    <n v="2499.46"/>
  </r>
  <r>
    <x v="160"/>
    <x v="0"/>
    <x v="5"/>
    <x v="1"/>
    <x v="4"/>
    <x v="1"/>
    <x v="27"/>
    <n v="7"/>
    <n v="1248.3599999999999"/>
    <n v="8738.52"/>
  </r>
  <r>
    <x v="161"/>
    <x v="0"/>
    <x v="5"/>
    <x v="3"/>
    <x v="4"/>
    <x v="4"/>
    <x v="12"/>
    <n v="10"/>
    <n v="945.38"/>
    <n v="9453.7999999999993"/>
  </r>
  <r>
    <x v="162"/>
    <x v="0"/>
    <x v="5"/>
    <x v="3"/>
    <x v="1"/>
    <x v="2"/>
    <x v="16"/>
    <n v="6"/>
    <n v="1442.78"/>
    <n v="8656.68"/>
  </r>
  <r>
    <x v="163"/>
    <x v="0"/>
    <x v="5"/>
    <x v="1"/>
    <x v="2"/>
    <x v="6"/>
    <x v="22"/>
    <n v="3"/>
    <n v="1473.55"/>
    <n v="4420.6499999999996"/>
  </r>
  <r>
    <x v="164"/>
    <x v="0"/>
    <x v="5"/>
    <x v="0"/>
    <x v="5"/>
    <x v="7"/>
    <x v="28"/>
    <n v="4"/>
    <n v="139.83000000000001"/>
    <n v="559.32000000000005"/>
  </r>
  <r>
    <x v="165"/>
    <x v="0"/>
    <x v="5"/>
    <x v="3"/>
    <x v="3"/>
    <x v="0"/>
    <x v="3"/>
    <n v="1"/>
    <n v="1446.13"/>
    <n v="1446.13"/>
  </r>
  <r>
    <x v="166"/>
    <x v="0"/>
    <x v="5"/>
    <x v="1"/>
    <x v="4"/>
    <x v="1"/>
    <x v="23"/>
    <n v="9"/>
    <n v="826.89"/>
    <n v="7442.01"/>
  </r>
  <r>
    <x v="167"/>
    <x v="0"/>
    <x v="5"/>
    <x v="1"/>
    <x v="2"/>
    <x v="6"/>
    <x v="22"/>
    <n v="5"/>
    <n v="191.61"/>
    <n v="958.05"/>
  </r>
  <r>
    <x v="168"/>
    <x v="0"/>
    <x v="5"/>
    <x v="4"/>
    <x v="1"/>
    <x v="3"/>
    <x v="13"/>
    <n v="5"/>
    <n v="1164.1300000000001"/>
    <n v="5820.65"/>
  </r>
  <r>
    <x v="169"/>
    <x v="0"/>
    <x v="5"/>
    <x v="3"/>
    <x v="0"/>
    <x v="4"/>
    <x v="10"/>
    <n v="3"/>
    <n v="320.64"/>
    <n v="961.92"/>
  </r>
  <r>
    <x v="170"/>
    <x v="0"/>
    <x v="5"/>
    <x v="0"/>
    <x v="1"/>
    <x v="6"/>
    <x v="16"/>
    <n v="4"/>
    <n v="984.64"/>
    <n v="3938.56"/>
  </r>
  <r>
    <x v="171"/>
    <x v="0"/>
    <x v="5"/>
    <x v="2"/>
    <x v="0"/>
    <x v="6"/>
    <x v="10"/>
    <n v="2"/>
    <n v="200.95"/>
    <n v="401.9"/>
  </r>
  <r>
    <x v="172"/>
    <x v="0"/>
    <x v="5"/>
    <x v="4"/>
    <x v="5"/>
    <x v="4"/>
    <x v="18"/>
    <n v="1"/>
    <n v="157.57"/>
    <n v="157.57"/>
  </r>
  <r>
    <x v="173"/>
    <x v="0"/>
    <x v="5"/>
    <x v="0"/>
    <x v="1"/>
    <x v="0"/>
    <x v="1"/>
    <n v="9"/>
    <n v="376.64"/>
    <n v="3389.76"/>
  </r>
  <r>
    <x v="174"/>
    <x v="0"/>
    <x v="5"/>
    <x v="4"/>
    <x v="4"/>
    <x v="1"/>
    <x v="27"/>
    <n v="8"/>
    <n v="744.61"/>
    <n v="5956.88"/>
  </r>
  <r>
    <x v="175"/>
    <x v="0"/>
    <x v="5"/>
    <x v="4"/>
    <x v="3"/>
    <x v="3"/>
    <x v="15"/>
    <n v="4"/>
    <n v="675.25"/>
    <n v="2701"/>
  </r>
  <r>
    <x v="176"/>
    <x v="0"/>
    <x v="5"/>
    <x v="2"/>
    <x v="0"/>
    <x v="2"/>
    <x v="10"/>
    <n v="9"/>
    <n v="1131.5999999999999"/>
    <n v="10184.4"/>
  </r>
  <r>
    <x v="177"/>
    <x v="0"/>
    <x v="5"/>
    <x v="3"/>
    <x v="2"/>
    <x v="6"/>
    <x v="22"/>
    <n v="3"/>
    <n v="237.33"/>
    <n v="711.99"/>
  </r>
  <r>
    <x v="178"/>
    <x v="0"/>
    <x v="5"/>
    <x v="3"/>
    <x v="2"/>
    <x v="6"/>
    <x v="5"/>
    <n v="2"/>
    <n v="801.93"/>
    <n v="1603.86"/>
  </r>
  <r>
    <x v="179"/>
    <x v="0"/>
    <x v="5"/>
    <x v="1"/>
    <x v="0"/>
    <x v="7"/>
    <x v="29"/>
    <n v="7"/>
    <n v="886.14"/>
    <n v="6202.98"/>
  </r>
  <r>
    <x v="180"/>
    <x v="0"/>
    <x v="6"/>
    <x v="4"/>
    <x v="1"/>
    <x v="2"/>
    <x v="24"/>
    <n v="9"/>
    <n v="1496.71"/>
    <n v="13470.39"/>
  </r>
  <r>
    <x v="181"/>
    <x v="0"/>
    <x v="6"/>
    <x v="1"/>
    <x v="0"/>
    <x v="6"/>
    <x v="0"/>
    <n v="8"/>
    <n v="1312.58"/>
    <n v="10500.64"/>
  </r>
  <r>
    <x v="182"/>
    <x v="0"/>
    <x v="6"/>
    <x v="4"/>
    <x v="5"/>
    <x v="1"/>
    <x v="11"/>
    <n v="9"/>
    <n v="66.67"/>
    <n v="600.03"/>
  </r>
  <r>
    <x v="183"/>
    <x v="0"/>
    <x v="6"/>
    <x v="2"/>
    <x v="2"/>
    <x v="5"/>
    <x v="21"/>
    <n v="5"/>
    <n v="41.8"/>
    <n v="209"/>
  </r>
  <r>
    <x v="184"/>
    <x v="0"/>
    <x v="6"/>
    <x v="3"/>
    <x v="1"/>
    <x v="6"/>
    <x v="24"/>
    <n v="5"/>
    <n v="461.91"/>
    <n v="2309.5500000000002"/>
  </r>
  <r>
    <x v="185"/>
    <x v="0"/>
    <x v="6"/>
    <x v="4"/>
    <x v="2"/>
    <x v="0"/>
    <x v="2"/>
    <n v="5"/>
    <n v="951.61"/>
    <n v="4758.05"/>
  </r>
  <r>
    <x v="186"/>
    <x v="0"/>
    <x v="6"/>
    <x v="1"/>
    <x v="3"/>
    <x v="0"/>
    <x v="3"/>
    <n v="6"/>
    <n v="1232.6099999999999"/>
    <n v="7395.66"/>
  </r>
  <r>
    <x v="187"/>
    <x v="0"/>
    <x v="6"/>
    <x v="2"/>
    <x v="2"/>
    <x v="6"/>
    <x v="6"/>
    <n v="5"/>
    <n v="780.75"/>
    <n v="3903.75"/>
  </r>
  <r>
    <x v="188"/>
    <x v="0"/>
    <x v="6"/>
    <x v="4"/>
    <x v="0"/>
    <x v="0"/>
    <x v="0"/>
    <n v="5"/>
    <n v="741.27"/>
    <n v="3706.35"/>
  </r>
  <r>
    <x v="189"/>
    <x v="0"/>
    <x v="6"/>
    <x v="2"/>
    <x v="2"/>
    <x v="6"/>
    <x v="22"/>
    <n v="1"/>
    <n v="1485.35"/>
    <n v="1485.35"/>
  </r>
  <r>
    <x v="190"/>
    <x v="0"/>
    <x v="6"/>
    <x v="2"/>
    <x v="0"/>
    <x v="5"/>
    <x v="17"/>
    <n v="3"/>
    <n v="1081.54"/>
    <n v="3244.62"/>
  </r>
  <r>
    <x v="191"/>
    <x v="0"/>
    <x v="6"/>
    <x v="1"/>
    <x v="1"/>
    <x v="5"/>
    <x v="1"/>
    <n v="2"/>
    <n v="791.51"/>
    <n v="1583.02"/>
  </r>
  <r>
    <x v="192"/>
    <x v="0"/>
    <x v="6"/>
    <x v="1"/>
    <x v="4"/>
    <x v="0"/>
    <x v="23"/>
    <n v="5"/>
    <n v="836.01"/>
    <n v="4180.05"/>
  </r>
  <r>
    <x v="193"/>
    <x v="0"/>
    <x v="6"/>
    <x v="3"/>
    <x v="4"/>
    <x v="4"/>
    <x v="12"/>
    <n v="9"/>
    <n v="717.73"/>
    <n v="6459.57"/>
  </r>
  <r>
    <x v="194"/>
    <x v="0"/>
    <x v="6"/>
    <x v="3"/>
    <x v="5"/>
    <x v="1"/>
    <x v="20"/>
    <n v="7"/>
    <n v="1426.46"/>
    <n v="9985.2199999999993"/>
  </r>
  <r>
    <x v="195"/>
    <x v="0"/>
    <x v="6"/>
    <x v="4"/>
    <x v="3"/>
    <x v="7"/>
    <x v="15"/>
    <n v="2"/>
    <n v="1499.62"/>
    <n v="2999.24"/>
  </r>
  <r>
    <x v="196"/>
    <x v="0"/>
    <x v="6"/>
    <x v="2"/>
    <x v="0"/>
    <x v="2"/>
    <x v="17"/>
    <n v="3"/>
    <n v="154.88999999999999"/>
    <n v="464.67"/>
  </r>
  <r>
    <x v="197"/>
    <x v="0"/>
    <x v="6"/>
    <x v="1"/>
    <x v="3"/>
    <x v="7"/>
    <x v="7"/>
    <n v="4"/>
    <n v="1409.34"/>
    <n v="5637.36"/>
  </r>
  <r>
    <x v="198"/>
    <x v="0"/>
    <x v="6"/>
    <x v="3"/>
    <x v="3"/>
    <x v="1"/>
    <x v="15"/>
    <n v="8"/>
    <n v="1146.4100000000001"/>
    <n v="9171.2800000000007"/>
  </r>
  <r>
    <x v="199"/>
    <x v="0"/>
    <x v="6"/>
    <x v="3"/>
    <x v="1"/>
    <x v="5"/>
    <x v="16"/>
    <n v="8"/>
    <n v="298.57"/>
    <n v="2388.56"/>
  </r>
  <r>
    <x v="200"/>
    <x v="0"/>
    <x v="6"/>
    <x v="3"/>
    <x v="5"/>
    <x v="4"/>
    <x v="20"/>
    <n v="6"/>
    <n v="1244.3800000000001"/>
    <n v="7466.28"/>
  </r>
  <r>
    <x v="201"/>
    <x v="0"/>
    <x v="6"/>
    <x v="0"/>
    <x v="0"/>
    <x v="0"/>
    <x v="29"/>
    <n v="1"/>
    <n v="423.89"/>
    <n v="423.89"/>
  </r>
  <r>
    <x v="202"/>
    <x v="0"/>
    <x v="6"/>
    <x v="0"/>
    <x v="2"/>
    <x v="6"/>
    <x v="6"/>
    <n v="9"/>
    <n v="708.63"/>
    <n v="6377.67"/>
  </r>
  <r>
    <x v="203"/>
    <x v="0"/>
    <x v="6"/>
    <x v="3"/>
    <x v="3"/>
    <x v="3"/>
    <x v="26"/>
    <n v="6"/>
    <n v="356.97"/>
    <n v="2141.8200000000002"/>
  </r>
  <r>
    <x v="204"/>
    <x v="0"/>
    <x v="6"/>
    <x v="0"/>
    <x v="0"/>
    <x v="4"/>
    <x v="0"/>
    <n v="5"/>
    <n v="1254.18"/>
    <n v="6270.9"/>
  </r>
  <r>
    <x v="205"/>
    <x v="0"/>
    <x v="6"/>
    <x v="0"/>
    <x v="2"/>
    <x v="3"/>
    <x v="2"/>
    <n v="10"/>
    <n v="910.46"/>
    <n v="9104.6"/>
  </r>
  <r>
    <x v="206"/>
    <x v="0"/>
    <x v="6"/>
    <x v="0"/>
    <x v="3"/>
    <x v="0"/>
    <x v="25"/>
    <n v="3"/>
    <n v="89.2"/>
    <n v="267.60000000000002"/>
  </r>
  <r>
    <x v="207"/>
    <x v="0"/>
    <x v="6"/>
    <x v="3"/>
    <x v="3"/>
    <x v="0"/>
    <x v="3"/>
    <n v="1"/>
    <n v="784.12"/>
    <n v="784.12"/>
  </r>
  <r>
    <x v="208"/>
    <x v="0"/>
    <x v="6"/>
    <x v="0"/>
    <x v="2"/>
    <x v="1"/>
    <x v="2"/>
    <n v="10"/>
    <n v="993.99"/>
    <n v="9939.9"/>
  </r>
  <r>
    <x v="209"/>
    <x v="0"/>
    <x v="6"/>
    <x v="4"/>
    <x v="2"/>
    <x v="7"/>
    <x v="21"/>
    <n v="5"/>
    <n v="1144.18"/>
    <n v="5720.9"/>
  </r>
  <r>
    <x v="210"/>
    <x v="0"/>
    <x v="6"/>
    <x v="2"/>
    <x v="2"/>
    <x v="5"/>
    <x v="22"/>
    <n v="3"/>
    <n v="59.73"/>
    <n v="179.19"/>
  </r>
  <r>
    <x v="211"/>
    <x v="0"/>
    <x v="7"/>
    <x v="3"/>
    <x v="3"/>
    <x v="0"/>
    <x v="3"/>
    <n v="4"/>
    <n v="1004.96"/>
    <n v="4019.84"/>
  </r>
  <r>
    <x v="212"/>
    <x v="0"/>
    <x v="7"/>
    <x v="4"/>
    <x v="4"/>
    <x v="5"/>
    <x v="27"/>
    <n v="8"/>
    <n v="1171.26"/>
    <n v="9370.08"/>
  </r>
  <r>
    <x v="213"/>
    <x v="0"/>
    <x v="7"/>
    <x v="0"/>
    <x v="5"/>
    <x v="4"/>
    <x v="28"/>
    <n v="9"/>
    <n v="198.88"/>
    <n v="1789.92"/>
  </r>
  <r>
    <x v="214"/>
    <x v="0"/>
    <x v="7"/>
    <x v="3"/>
    <x v="1"/>
    <x v="1"/>
    <x v="1"/>
    <n v="7"/>
    <n v="1445.49"/>
    <n v="10118.43"/>
  </r>
  <r>
    <x v="215"/>
    <x v="0"/>
    <x v="7"/>
    <x v="2"/>
    <x v="0"/>
    <x v="6"/>
    <x v="10"/>
    <n v="3"/>
    <n v="1358.17"/>
    <n v="4074.51"/>
  </r>
  <r>
    <x v="216"/>
    <x v="0"/>
    <x v="7"/>
    <x v="4"/>
    <x v="2"/>
    <x v="0"/>
    <x v="2"/>
    <n v="6"/>
    <n v="1155.1199999999999"/>
    <n v="6930.72"/>
  </r>
  <r>
    <x v="217"/>
    <x v="0"/>
    <x v="7"/>
    <x v="3"/>
    <x v="1"/>
    <x v="4"/>
    <x v="16"/>
    <n v="6"/>
    <n v="258.88"/>
    <n v="1553.28"/>
  </r>
  <r>
    <x v="218"/>
    <x v="0"/>
    <x v="7"/>
    <x v="3"/>
    <x v="4"/>
    <x v="4"/>
    <x v="8"/>
    <n v="3"/>
    <n v="703.91"/>
    <n v="2111.73"/>
  </r>
  <r>
    <x v="219"/>
    <x v="0"/>
    <x v="7"/>
    <x v="2"/>
    <x v="0"/>
    <x v="4"/>
    <x v="17"/>
    <n v="6"/>
    <n v="740.1"/>
    <n v="4440.6000000000004"/>
  </r>
  <r>
    <x v="220"/>
    <x v="0"/>
    <x v="7"/>
    <x v="3"/>
    <x v="1"/>
    <x v="7"/>
    <x v="1"/>
    <n v="6"/>
    <n v="133.55000000000001"/>
    <n v="801.3"/>
  </r>
  <r>
    <x v="221"/>
    <x v="0"/>
    <x v="7"/>
    <x v="1"/>
    <x v="5"/>
    <x v="1"/>
    <x v="20"/>
    <n v="4"/>
    <n v="557.94000000000005"/>
    <n v="2231.7600000000002"/>
  </r>
  <r>
    <x v="222"/>
    <x v="0"/>
    <x v="7"/>
    <x v="1"/>
    <x v="5"/>
    <x v="3"/>
    <x v="20"/>
    <n v="7"/>
    <n v="714.73"/>
    <n v="5003.1099999999997"/>
  </r>
  <r>
    <x v="223"/>
    <x v="0"/>
    <x v="7"/>
    <x v="4"/>
    <x v="3"/>
    <x v="1"/>
    <x v="3"/>
    <n v="3"/>
    <n v="167.52"/>
    <n v="502.56"/>
  </r>
  <r>
    <x v="224"/>
    <x v="0"/>
    <x v="7"/>
    <x v="4"/>
    <x v="2"/>
    <x v="2"/>
    <x v="22"/>
    <n v="8"/>
    <n v="1167.1600000000001"/>
    <n v="9337.2800000000007"/>
  </r>
  <r>
    <x v="225"/>
    <x v="0"/>
    <x v="7"/>
    <x v="4"/>
    <x v="0"/>
    <x v="0"/>
    <x v="10"/>
    <n v="4"/>
    <n v="1063.99"/>
    <n v="4255.96"/>
  </r>
  <r>
    <x v="226"/>
    <x v="0"/>
    <x v="7"/>
    <x v="2"/>
    <x v="0"/>
    <x v="1"/>
    <x v="29"/>
    <n v="6"/>
    <n v="1075.54"/>
    <n v="6453.24"/>
  </r>
  <r>
    <x v="227"/>
    <x v="0"/>
    <x v="7"/>
    <x v="0"/>
    <x v="1"/>
    <x v="6"/>
    <x v="1"/>
    <n v="8"/>
    <n v="923.37"/>
    <n v="7386.96"/>
  </r>
  <r>
    <x v="228"/>
    <x v="0"/>
    <x v="7"/>
    <x v="1"/>
    <x v="5"/>
    <x v="5"/>
    <x v="11"/>
    <n v="8"/>
    <n v="475.1"/>
    <n v="3800.8"/>
  </r>
  <r>
    <x v="229"/>
    <x v="0"/>
    <x v="7"/>
    <x v="0"/>
    <x v="5"/>
    <x v="4"/>
    <x v="20"/>
    <n v="6"/>
    <n v="1303.92"/>
    <n v="7823.52"/>
  </r>
  <r>
    <x v="230"/>
    <x v="0"/>
    <x v="7"/>
    <x v="3"/>
    <x v="1"/>
    <x v="7"/>
    <x v="4"/>
    <n v="8"/>
    <n v="377.52"/>
    <n v="3020.16"/>
  </r>
  <r>
    <x v="231"/>
    <x v="0"/>
    <x v="7"/>
    <x v="2"/>
    <x v="5"/>
    <x v="3"/>
    <x v="14"/>
    <n v="7"/>
    <n v="441.72"/>
    <n v="3092.04"/>
  </r>
  <r>
    <x v="232"/>
    <x v="0"/>
    <x v="7"/>
    <x v="1"/>
    <x v="5"/>
    <x v="4"/>
    <x v="14"/>
    <n v="6"/>
    <n v="427.5"/>
    <n v="2565"/>
  </r>
  <r>
    <x v="233"/>
    <x v="0"/>
    <x v="7"/>
    <x v="2"/>
    <x v="0"/>
    <x v="3"/>
    <x v="17"/>
    <n v="10"/>
    <n v="246.03"/>
    <n v="2460.3000000000002"/>
  </r>
  <r>
    <x v="234"/>
    <x v="0"/>
    <x v="7"/>
    <x v="4"/>
    <x v="4"/>
    <x v="0"/>
    <x v="12"/>
    <n v="2"/>
    <n v="843.75"/>
    <n v="1687.5"/>
  </r>
  <r>
    <x v="235"/>
    <x v="0"/>
    <x v="7"/>
    <x v="0"/>
    <x v="0"/>
    <x v="7"/>
    <x v="0"/>
    <n v="2"/>
    <n v="582.33000000000004"/>
    <n v="1164.6600000000001"/>
  </r>
  <r>
    <x v="236"/>
    <x v="0"/>
    <x v="7"/>
    <x v="3"/>
    <x v="1"/>
    <x v="1"/>
    <x v="13"/>
    <n v="10"/>
    <n v="1086.06"/>
    <n v="10860.6"/>
  </r>
  <r>
    <x v="237"/>
    <x v="0"/>
    <x v="7"/>
    <x v="3"/>
    <x v="1"/>
    <x v="2"/>
    <x v="1"/>
    <n v="10"/>
    <n v="314.52999999999997"/>
    <n v="3145.3"/>
  </r>
  <r>
    <x v="238"/>
    <x v="0"/>
    <x v="7"/>
    <x v="4"/>
    <x v="3"/>
    <x v="4"/>
    <x v="15"/>
    <n v="5"/>
    <n v="211.01"/>
    <n v="1055.05"/>
  </r>
  <r>
    <x v="239"/>
    <x v="0"/>
    <x v="7"/>
    <x v="1"/>
    <x v="4"/>
    <x v="6"/>
    <x v="8"/>
    <n v="10"/>
    <n v="812.79"/>
    <n v="8127.9"/>
  </r>
  <r>
    <x v="240"/>
    <x v="0"/>
    <x v="7"/>
    <x v="3"/>
    <x v="1"/>
    <x v="6"/>
    <x v="4"/>
    <n v="1"/>
    <n v="908.59"/>
    <n v="908.59"/>
  </r>
  <r>
    <x v="241"/>
    <x v="0"/>
    <x v="7"/>
    <x v="3"/>
    <x v="2"/>
    <x v="1"/>
    <x v="5"/>
    <n v="6"/>
    <n v="403.88"/>
    <n v="2423.2800000000002"/>
  </r>
  <r>
    <x v="242"/>
    <x v="0"/>
    <x v="8"/>
    <x v="1"/>
    <x v="4"/>
    <x v="3"/>
    <x v="23"/>
    <n v="9"/>
    <n v="278.41000000000003"/>
    <n v="2505.69"/>
  </r>
  <r>
    <x v="243"/>
    <x v="0"/>
    <x v="8"/>
    <x v="0"/>
    <x v="5"/>
    <x v="7"/>
    <x v="11"/>
    <n v="1"/>
    <n v="26.69"/>
    <n v="26.69"/>
  </r>
  <r>
    <x v="244"/>
    <x v="0"/>
    <x v="8"/>
    <x v="0"/>
    <x v="2"/>
    <x v="5"/>
    <x v="2"/>
    <n v="5"/>
    <n v="459.1"/>
    <n v="2295.5"/>
  </r>
  <r>
    <x v="245"/>
    <x v="0"/>
    <x v="8"/>
    <x v="3"/>
    <x v="4"/>
    <x v="2"/>
    <x v="23"/>
    <n v="1"/>
    <n v="953.89"/>
    <n v="953.89"/>
  </r>
  <r>
    <x v="246"/>
    <x v="0"/>
    <x v="8"/>
    <x v="3"/>
    <x v="4"/>
    <x v="4"/>
    <x v="12"/>
    <n v="10"/>
    <n v="738.82"/>
    <n v="7388.2"/>
  </r>
  <r>
    <x v="247"/>
    <x v="0"/>
    <x v="8"/>
    <x v="0"/>
    <x v="1"/>
    <x v="3"/>
    <x v="13"/>
    <n v="10"/>
    <n v="1494.63"/>
    <n v="14946.3"/>
  </r>
  <r>
    <x v="248"/>
    <x v="0"/>
    <x v="8"/>
    <x v="3"/>
    <x v="5"/>
    <x v="4"/>
    <x v="28"/>
    <n v="2"/>
    <n v="820.7"/>
    <n v="1641.4"/>
  </r>
  <r>
    <x v="249"/>
    <x v="0"/>
    <x v="8"/>
    <x v="4"/>
    <x v="2"/>
    <x v="2"/>
    <x v="6"/>
    <n v="2"/>
    <n v="116.7"/>
    <n v="233.4"/>
  </r>
  <r>
    <x v="250"/>
    <x v="0"/>
    <x v="8"/>
    <x v="0"/>
    <x v="4"/>
    <x v="5"/>
    <x v="27"/>
    <n v="2"/>
    <n v="77.150000000000006"/>
    <n v="154.30000000000001"/>
  </r>
  <r>
    <x v="251"/>
    <x v="0"/>
    <x v="8"/>
    <x v="4"/>
    <x v="4"/>
    <x v="0"/>
    <x v="12"/>
    <n v="1"/>
    <n v="1497.69"/>
    <n v="1497.69"/>
  </r>
  <r>
    <x v="252"/>
    <x v="0"/>
    <x v="8"/>
    <x v="2"/>
    <x v="1"/>
    <x v="3"/>
    <x v="24"/>
    <n v="6"/>
    <n v="1130.27"/>
    <n v="6781.62"/>
  </r>
  <r>
    <x v="253"/>
    <x v="0"/>
    <x v="8"/>
    <x v="1"/>
    <x v="5"/>
    <x v="3"/>
    <x v="11"/>
    <n v="6"/>
    <n v="1047.1099999999999"/>
    <n v="6282.66"/>
  </r>
  <r>
    <x v="254"/>
    <x v="0"/>
    <x v="8"/>
    <x v="4"/>
    <x v="4"/>
    <x v="3"/>
    <x v="12"/>
    <n v="10"/>
    <n v="225.27"/>
    <n v="2252.6999999999998"/>
  </r>
  <r>
    <x v="255"/>
    <x v="0"/>
    <x v="8"/>
    <x v="4"/>
    <x v="3"/>
    <x v="7"/>
    <x v="15"/>
    <n v="1"/>
    <n v="1162.48"/>
    <n v="1162.48"/>
  </r>
  <r>
    <x v="256"/>
    <x v="0"/>
    <x v="8"/>
    <x v="4"/>
    <x v="3"/>
    <x v="3"/>
    <x v="3"/>
    <n v="3"/>
    <n v="753.7"/>
    <n v="2261.1"/>
  </r>
  <r>
    <x v="257"/>
    <x v="0"/>
    <x v="8"/>
    <x v="2"/>
    <x v="2"/>
    <x v="2"/>
    <x v="6"/>
    <n v="5"/>
    <n v="1422.27"/>
    <n v="7111.35"/>
  </r>
  <r>
    <x v="258"/>
    <x v="0"/>
    <x v="8"/>
    <x v="0"/>
    <x v="2"/>
    <x v="6"/>
    <x v="22"/>
    <n v="4"/>
    <n v="872.42"/>
    <n v="3489.68"/>
  </r>
  <r>
    <x v="259"/>
    <x v="0"/>
    <x v="8"/>
    <x v="1"/>
    <x v="1"/>
    <x v="4"/>
    <x v="16"/>
    <n v="1"/>
    <n v="118.62"/>
    <n v="118.62"/>
  </r>
  <r>
    <x v="260"/>
    <x v="0"/>
    <x v="8"/>
    <x v="1"/>
    <x v="3"/>
    <x v="2"/>
    <x v="26"/>
    <n v="1"/>
    <n v="1457.78"/>
    <n v="1457.78"/>
  </r>
  <r>
    <x v="261"/>
    <x v="0"/>
    <x v="8"/>
    <x v="0"/>
    <x v="0"/>
    <x v="6"/>
    <x v="0"/>
    <n v="9"/>
    <n v="139.05000000000001"/>
    <n v="1251.45"/>
  </r>
  <r>
    <x v="262"/>
    <x v="0"/>
    <x v="8"/>
    <x v="1"/>
    <x v="4"/>
    <x v="7"/>
    <x v="8"/>
    <n v="4"/>
    <n v="1459.93"/>
    <n v="5839.72"/>
  </r>
  <r>
    <x v="263"/>
    <x v="0"/>
    <x v="8"/>
    <x v="0"/>
    <x v="0"/>
    <x v="3"/>
    <x v="29"/>
    <n v="7"/>
    <n v="403.42"/>
    <n v="2823.94"/>
  </r>
  <r>
    <x v="264"/>
    <x v="0"/>
    <x v="8"/>
    <x v="1"/>
    <x v="1"/>
    <x v="6"/>
    <x v="13"/>
    <n v="6"/>
    <n v="744.9"/>
    <n v="4469.3999999999996"/>
  </r>
  <r>
    <x v="265"/>
    <x v="0"/>
    <x v="8"/>
    <x v="0"/>
    <x v="0"/>
    <x v="3"/>
    <x v="17"/>
    <n v="5"/>
    <n v="1019.6"/>
    <n v="5098"/>
  </r>
  <r>
    <x v="266"/>
    <x v="0"/>
    <x v="8"/>
    <x v="4"/>
    <x v="5"/>
    <x v="6"/>
    <x v="14"/>
    <n v="9"/>
    <n v="560.57000000000005"/>
    <n v="5045.13"/>
  </r>
  <r>
    <x v="267"/>
    <x v="0"/>
    <x v="8"/>
    <x v="4"/>
    <x v="0"/>
    <x v="1"/>
    <x v="9"/>
    <n v="4"/>
    <n v="292.58999999999997"/>
    <n v="1170.3599999999999"/>
  </r>
  <r>
    <x v="268"/>
    <x v="0"/>
    <x v="8"/>
    <x v="0"/>
    <x v="2"/>
    <x v="0"/>
    <x v="22"/>
    <n v="1"/>
    <n v="1378.39"/>
    <n v="1378.39"/>
  </r>
  <r>
    <x v="269"/>
    <x v="0"/>
    <x v="8"/>
    <x v="0"/>
    <x v="3"/>
    <x v="2"/>
    <x v="7"/>
    <n v="5"/>
    <n v="777.25"/>
    <n v="3886.25"/>
  </r>
  <r>
    <x v="270"/>
    <x v="0"/>
    <x v="8"/>
    <x v="0"/>
    <x v="2"/>
    <x v="7"/>
    <x v="21"/>
    <n v="5"/>
    <n v="301.14"/>
    <n v="1505.7"/>
  </r>
  <r>
    <x v="271"/>
    <x v="0"/>
    <x v="8"/>
    <x v="4"/>
    <x v="5"/>
    <x v="0"/>
    <x v="14"/>
    <n v="4"/>
    <n v="481.84"/>
    <n v="1927.36"/>
  </r>
  <r>
    <x v="272"/>
    <x v="0"/>
    <x v="9"/>
    <x v="3"/>
    <x v="5"/>
    <x v="6"/>
    <x v="20"/>
    <n v="6"/>
    <n v="1156.1199999999999"/>
    <n v="6936.72"/>
  </r>
  <r>
    <x v="273"/>
    <x v="0"/>
    <x v="9"/>
    <x v="1"/>
    <x v="5"/>
    <x v="3"/>
    <x v="14"/>
    <n v="1"/>
    <n v="1304.03"/>
    <n v="1304.03"/>
  </r>
  <r>
    <x v="274"/>
    <x v="0"/>
    <x v="9"/>
    <x v="0"/>
    <x v="1"/>
    <x v="4"/>
    <x v="1"/>
    <n v="8"/>
    <n v="148.93"/>
    <n v="1191.44"/>
  </r>
  <r>
    <x v="275"/>
    <x v="0"/>
    <x v="9"/>
    <x v="1"/>
    <x v="1"/>
    <x v="3"/>
    <x v="4"/>
    <n v="2"/>
    <n v="1263"/>
    <n v="2526"/>
  </r>
  <r>
    <x v="276"/>
    <x v="0"/>
    <x v="9"/>
    <x v="0"/>
    <x v="4"/>
    <x v="7"/>
    <x v="12"/>
    <n v="8"/>
    <n v="369.92"/>
    <n v="2959.36"/>
  </r>
  <r>
    <x v="277"/>
    <x v="0"/>
    <x v="9"/>
    <x v="3"/>
    <x v="2"/>
    <x v="4"/>
    <x v="5"/>
    <n v="1"/>
    <n v="936.18"/>
    <n v="936.18"/>
  </r>
  <r>
    <x v="278"/>
    <x v="0"/>
    <x v="9"/>
    <x v="3"/>
    <x v="3"/>
    <x v="7"/>
    <x v="26"/>
    <n v="4"/>
    <n v="1462.34"/>
    <n v="5849.36"/>
  </r>
  <r>
    <x v="279"/>
    <x v="0"/>
    <x v="9"/>
    <x v="2"/>
    <x v="1"/>
    <x v="3"/>
    <x v="13"/>
    <n v="8"/>
    <n v="1428.76"/>
    <n v="11430.08"/>
  </r>
  <r>
    <x v="280"/>
    <x v="0"/>
    <x v="9"/>
    <x v="4"/>
    <x v="2"/>
    <x v="4"/>
    <x v="22"/>
    <n v="7"/>
    <n v="26.81"/>
    <n v="187.67"/>
  </r>
  <r>
    <x v="281"/>
    <x v="0"/>
    <x v="9"/>
    <x v="4"/>
    <x v="1"/>
    <x v="0"/>
    <x v="4"/>
    <n v="6"/>
    <n v="135.47"/>
    <n v="812.82"/>
  </r>
  <r>
    <x v="282"/>
    <x v="0"/>
    <x v="9"/>
    <x v="4"/>
    <x v="0"/>
    <x v="0"/>
    <x v="17"/>
    <n v="2"/>
    <n v="35.22"/>
    <n v="70.44"/>
  </r>
  <r>
    <x v="283"/>
    <x v="0"/>
    <x v="9"/>
    <x v="2"/>
    <x v="0"/>
    <x v="3"/>
    <x v="0"/>
    <n v="5"/>
    <n v="1340.6"/>
    <n v="6703"/>
  </r>
  <r>
    <x v="284"/>
    <x v="0"/>
    <x v="9"/>
    <x v="3"/>
    <x v="4"/>
    <x v="3"/>
    <x v="19"/>
    <n v="4"/>
    <n v="1134.7"/>
    <n v="4538.8"/>
  </r>
  <r>
    <x v="285"/>
    <x v="0"/>
    <x v="9"/>
    <x v="2"/>
    <x v="3"/>
    <x v="4"/>
    <x v="25"/>
    <n v="3"/>
    <n v="197.93"/>
    <n v="593.79"/>
  </r>
  <r>
    <x v="286"/>
    <x v="0"/>
    <x v="9"/>
    <x v="1"/>
    <x v="4"/>
    <x v="7"/>
    <x v="8"/>
    <n v="1"/>
    <n v="985.28"/>
    <n v="985.28"/>
  </r>
  <r>
    <x v="287"/>
    <x v="0"/>
    <x v="9"/>
    <x v="4"/>
    <x v="3"/>
    <x v="1"/>
    <x v="25"/>
    <n v="10"/>
    <n v="184.06"/>
    <n v="1840.6"/>
  </r>
  <r>
    <x v="288"/>
    <x v="0"/>
    <x v="9"/>
    <x v="2"/>
    <x v="2"/>
    <x v="3"/>
    <x v="21"/>
    <n v="4"/>
    <n v="376.53"/>
    <n v="1506.12"/>
  </r>
  <r>
    <x v="289"/>
    <x v="0"/>
    <x v="9"/>
    <x v="2"/>
    <x v="4"/>
    <x v="0"/>
    <x v="23"/>
    <n v="5"/>
    <n v="965.35"/>
    <n v="4826.75"/>
  </r>
  <r>
    <x v="290"/>
    <x v="0"/>
    <x v="9"/>
    <x v="1"/>
    <x v="0"/>
    <x v="1"/>
    <x v="0"/>
    <n v="3"/>
    <n v="953.35"/>
    <n v="2860.05"/>
  </r>
  <r>
    <x v="291"/>
    <x v="0"/>
    <x v="9"/>
    <x v="4"/>
    <x v="3"/>
    <x v="3"/>
    <x v="26"/>
    <n v="10"/>
    <n v="946.62"/>
    <n v="9466.2000000000007"/>
  </r>
  <r>
    <x v="292"/>
    <x v="0"/>
    <x v="9"/>
    <x v="0"/>
    <x v="0"/>
    <x v="7"/>
    <x v="0"/>
    <n v="8"/>
    <n v="1498.02"/>
    <n v="11984.16"/>
  </r>
  <r>
    <x v="293"/>
    <x v="0"/>
    <x v="9"/>
    <x v="2"/>
    <x v="0"/>
    <x v="2"/>
    <x v="10"/>
    <n v="9"/>
    <n v="884.23"/>
    <n v="7958.07"/>
  </r>
  <r>
    <x v="294"/>
    <x v="0"/>
    <x v="9"/>
    <x v="4"/>
    <x v="0"/>
    <x v="0"/>
    <x v="10"/>
    <n v="3"/>
    <n v="681.19"/>
    <n v="2043.57"/>
  </r>
  <r>
    <x v="295"/>
    <x v="0"/>
    <x v="9"/>
    <x v="3"/>
    <x v="0"/>
    <x v="1"/>
    <x v="9"/>
    <n v="2"/>
    <n v="865.68"/>
    <n v="1731.36"/>
  </r>
  <r>
    <x v="296"/>
    <x v="0"/>
    <x v="9"/>
    <x v="3"/>
    <x v="1"/>
    <x v="6"/>
    <x v="16"/>
    <n v="5"/>
    <n v="855.02"/>
    <n v="4275.1000000000004"/>
  </r>
  <r>
    <x v="297"/>
    <x v="0"/>
    <x v="9"/>
    <x v="2"/>
    <x v="2"/>
    <x v="3"/>
    <x v="6"/>
    <n v="9"/>
    <n v="1466.86"/>
    <n v="13201.74"/>
  </r>
  <r>
    <x v="298"/>
    <x v="0"/>
    <x v="9"/>
    <x v="3"/>
    <x v="1"/>
    <x v="0"/>
    <x v="4"/>
    <n v="4"/>
    <n v="331.14"/>
    <n v="1324.56"/>
  </r>
  <r>
    <x v="299"/>
    <x v="0"/>
    <x v="9"/>
    <x v="3"/>
    <x v="0"/>
    <x v="5"/>
    <x v="29"/>
    <n v="10"/>
    <n v="1463.98"/>
    <n v="14639.8"/>
  </r>
  <r>
    <x v="300"/>
    <x v="0"/>
    <x v="9"/>
    <x v="3"/>
    <x v="3"/>
    <x v="5"/>
    <x v="26"/>
    <n v="3"/>
    <n v="60.32"/>
    <n v="180.96"/>
  </r>
  <r>
    <x v="301"/>
    <x v="0"/>
    <x v="9"/>
    <x v="0"/>
    <x v="3"/>
    <x v="7"/>
    <x v="3"/>
    <n v="2"/>
    <n v="929.4"/>
    <n v="1858.8"/>
  </r>
  <r>
    <x v="302"/>
    <x v="0"/>
    <x v="9"/>
    <x v="0"/>
    <x v="4"/>
    <x v="0"/>
    <x v="19"/>
    <n v="6"/>
    <n v="165.13"/>
    <n v="990.78"/>
  </r>
  <r>
    <x v="303"/>
    <x v="0"/>
    <x v="10"/>
    <x v="3"/>
    <x v="1"/>
    <x v="0"/>
    <x v="1"/>
    <n v="8"/>
    <n v="508.6"/>
    <n v="4068.8"/>
  </r>
  <r>
    <x v="304"/>
    <x v="0"/>
    <x v="10"/>
    <x v="2"/>
    <x v="5"/>
    <x v="3"/>
    <x v="20"/>
    <n v="3"/>
    <n v="387.97"/>
    <n v="1163.9100000000001"/>
  </r>
  <r>
    <x v="305"/>
    <x v="0"/>
    <x v="10"/>
    <x v="0"/>
    <x v="5"/>
    <x v="2"/>
    <x v="11"/>
    <n v="2"/>
    <n v="630.07000000000005"/>
    <n v="1260.1400000000001"/>
  </r>
  <r>
    <x v="306"/>
    <x v="0"/>
    <x v="10"/>
    <x v="0"/>
    <x v="1"/>
    <x v="7"/>
    <x v="24"/>
    <n v="2"/>
    <n v="1022.56"/>
    <n v="2045.12"/>
  </r>
  <r>
    <x v="307"/>
    <x v="0"/>
    <x v="10"/>
    <x v="0"/>
    <x v="0"/>
    <x v="7"/>
    <x v="0"/>
    <n v="10"/>
    <n v="1250.3399999999999"/>
    <n v="12503.4"/>
  </r>
  <r>
    <x v="308"/>
    <x v="0"/>
    <x v="10"/>
    <x v="1"/>
    <x v="1"/>
    <x v="4"/>
    <x v="1"/>
    <n v="1"/>
    <n v="478.67"/>
    <n v="478.67"/>
  </r>
  <r>
    <x v="309"/>
    <x v="0"/>
    <x v="10"/>
    <x v="4"/>
    <x v="1"/>
    <x v="1"/>
    <x v="24"/>
    <n v="10"/>
    <n v="827.61"/>
    <n v="8276.1"/>
  </r>
  <r>
    <x v="310"/>
    <x v="0"/>
    <x v="10"/>
    <x v="1"/>
    <x v="4"/>
    <x v="3"/>
    <x v="12"/>
    <n v="8"/>
    <n v="879.9"/>
    <n v="7039.2"/>
  </r>
  <r>
    <x v="311"/>
    <x v="0"/>
    <x v="10"/>
    <x v="1"/>
    <x v="5"/>
    <x v="0"/>
    <x v="14"/>
    <n v="3"/>
    <n v="1145.06"/>
    <n v="3435.18"/>
  </r>
  <r>
    <x v="312"/>
    <x v="0"/>
    <x v="10"/>
    <x v="3"/>
    <x v="1"/>
    <x v="3"/>
    <x v="1"/>
    <n v="5"/>
    <n v="1231.25"/>
    <n v="6156.25"/>
  </r>
  <r>
    <x v="313"/>
    <x v="0"/>
    <x v="10"/>
    <x v="2"/>
    <x v="3"/>
    <x v="4"/>
    <x v="3"/>
    <n v="6"/>
    <n v="1214.6099999999999"/>
    <n v="7287.66"/>
  </r>
  <r>
    <x v="314"/>
    <x v="0"/>
    <x v="10"/>
    <x v="4"/>
    <x v="0"/>
    <x v="6"/>
    <x v="29"/>
    <n v="1"/>
    <n v="1285.77"/>
    <n v="1285.77"/>
  </r>
  <r>
    <x v="315"/>
    <x v="0"/>
    <x v="10"/>
    <x v="2"/>
    <x v="2"/>
    <x v="1"/>
    <x v="5"/>
    <n v="1"/>
    <n v="1104.24"/>
    <n v="1104.24"/>
  </r>
  <r>
    <x v="316"/>
    <x v="0"/>
    <x v="10"/>
    <x v="2"/>
    <x v="1"/>
    <x v="2"/>
    <x v="1"/>
    <n v="9"/>
    <n v="1205.3599999999999"/>
    <n v="10848.24"/>
  </r>
  <r>
    <x v="317"/>
    <x v="0"/>
    <x v="10"/>
    <x v="2"/>
    <x v="5"/>
    <x v="4"/>
    <x v="18"/>
    <n v="7"/>
    <n v="1191.9100000000001"/>
    <n v="8343.3700000000008"/>
  </r>
  <r>
    <x v="318"/>
    <x v="0"/>
    <x v="10"/>
    <x v="4"/>
    <x v="1"/>
    <x v="5"/>
    <x v="16"/>
    <n v="2"/>
    <n v="123.42"/>
    <n v="246.84"/>
  </r>
  <r>
    <x v="319"/>
    <x v="0"/>
    <x v="10"/>
    <x v="1"/>
    <x v="3"/>
    <x v="4"/>
    <x v="26"/>
    <n v="1"/>
    <n v="545.12"/>
    <n v="545.12"/>
  </r>
  <r>
    <x v="320"/>
    <x v="0"/>
    <x v="10"/>
    <x v="0"/>
    <x v="2"/>
    <x v="3"/>
    <x v="22"/>
    <n v="2"/>
    <n v="864.25"/>
    <n v="1728.5"/>
  </r>
  <r>
    <x v="321"/>
    <x v="0"/>
    <x v="10"/>
    <x v="4"/>
    <x v="1"/>
    <x v="5"/>
    <x v="24"/>
    <n v="5"/>
    <n v="976.56"/>
    <n v="4882.8"/>
  </r>
  <r>
    <x v="322"/>
    <x v="0"/>
    <x v="10"/>
    <x v="0"/>
    <x v="1"/>
    <x v="3"/>
    <x v="24"/>
    <n v="5"/>
    <n v="247.42"/>
    <n v="1237.0999999999999"/>
  </r>
  <r>
    <x v="323"/>
    <x v="0"/>
    <x v="10"/>
    <x v="1"/>
    <x v="4"/>
    <x v="7"/>
    <x v="23"/>
    <n v="5"/>
    <n v="545.58000000000004"/>
    <n v="2727.9"/>
  </r>
  <r>
    <x v="324"/>
    <x v="0"/>
    <x v="10"/>
    <x v="2"/>
    <x v="0"/>
    <x v="0"/>
    <x v="0"/>
    <n v="2"/>
    <n v="1179.52"/>
    <n v="2359.04"/>
  </r>
  <r>
    <x v="325"/>
    <x v="0"/>
    <x v="10"/>
    <x v="0"/>
    <x v="5"/>
    <x v="7"/>
    <x v="18"/>
    <n v="4"/>
    <n v="548.73"/>
    <n v="2194.92"/>
  </r>
  <r>
    <x v="326"/>
    <x v="0"/>
    <x v="10"/>
    <x v="0"/>
    <x v="5"/>
    <x v="2"/>
    <x v="18"/>
    <n v="4"/>
    <n v="233.36"/>
    <n v="933.44"/>
  </r>
  <r>
    <x v="327"/>
    <x v="0"/>
    <x v="10"/>
    <x v="3"/>
    <x v="0"/>
    <x v="0"/>
    <x v="9"/>
    <n v="4"/>
    <n v="270.75"/>
    <n v="1083"/>
  </r>
  <r>
    <x v="328"/>
    <x v="0"/>
    <x v="10"/>
    <x v="4"/>
    <x v="1"/>
    <x v="0"/>
    <x v="13"/>
    <n v="2"/>
    <n v="1177.72"/>
    <n v="2355.44"/>
  </r>
  <r>
    <x v="329"/>
    <x v="0"/>
    <x v="10"/>
    <x v="4"/>
    <x v="1"/>
    <x v="5"/>
    <x v="24"/>
    <n v="9"/>
    <n v="596.1"/>
    <n v="5364.9"/>
  </r>
  <r>
    <x v="330"/>
    <x v="0"/>
    <x v="10"/>
    <x v="3"/>
    <x v="5"/>
    <x v="4"/>
    <x v="28"/>
    <n v="4"/>
    <n v="1278.07"/>
    <n v="5112.28"/>
  </r>
  <r>
    <x v="331"/>
    <x v="0"/>
    <x v="10"/>
    <x v="2"/>
    <x v="3"/>
    <x v="6"/>
    <x v="3"/>
    <n v="3"/>
    <n v="1252.8900000000001"/>
    <n v="3758.67"/>
  </r>
  <r>
    <x v="332"/>
    <x v="0"/>
    <x v="10"/>
    <x v="4"/>
    <x v="2"/>
    <x v="1"/>
    <x v="6"/>
    <n v="9"/>
    <n v="1258.04"/>
    <n v="11322.36"/>
  </r>
  <r>
    <x v="333"/>
    <x v="0"/>
    <x v="11"/>
    <x v="0"/>
    <x v="2"/>
    <x v="2"/>
    <x v="21"/>
    <n v="9"/>
    <n v="654.14"/>
    <n v="5887.26"/>
  </r>
  <r>
    <x v="334"/>
    <x v="0"/>
    <x v="11"/>
    <x v="2"/>
    <x v="1"/>
    <x v="7"/>
    <x v="13"/>
    <n v="1"/>
    <n v="132.13"/>
    <n v="132.13"/>
  </r>
  <r>
    <x v="335"/>
    <x v="0"/>
    <x v="11"/>
    <x v="0"/>
    <x v="1"/>
    <x v="7"/>
    <x v="16"/>
    <n v="6"/>
    <n v="792.45"/>
    <n v="4754.7"/>
  </r>
  <r>
    <x v="336"/>
    <x v="0"/>
    <x v="11"/>
    <x v="1"/>
    <x v="3"/>
    <x v="0"/>
    <x v="25"/>
    <n v="4"/>
    <n v="192.4"/>
    <n v="769.6"/>
  </r>
  <r>
    <x v="337"/>
    <x v="0"/>
    <x v="11"/>
    <x v="3"/>
    <x v="3"/>
    <x v="5"/>
    <x v="26"/>
    <n v="6"/>
    <n v="1408.96"/>
    <n v="8453.76"/>
  </r>
  <r>
    <x v="338"/>
    <x v="0"/>
    <x v="11"/>
    <x v="3"/>
    <x v="1"/>
    <x v="0"/>
    <x v="1"/>
    <n v="6"/>
    <n v="76.209999999999994"/>
    <n v="457.26"/>
  </r>
  <r>
    <x v="339"/>
    <x v="0"/>
    <x v="11"/>
    <x v="1"/>
    <x v="2"/>
    <x v="4"/>
    <x v="21"/>
    <n v="6"/>
    <n v="78.05"/>
    <n v="468.3"/>
  </r>
  <r>
    <x v="340"/>
    <x v="0"/>
    <x v="11"/>
    <x v="4"/>
    <x v="5"/>
    <x v="1"/>
    <x v="14"/>
    <n v="9"/>
    <n v="733.29"/>
    <n v="6599.61"/>
  </r>
  <r>
    <x v="341"/>
    <x v="0"/>
    <x v="11"/>
    <x v="1"/>
    <x v="2"/>
    <x v="1"/>
    <x v="2"/>
    <n v="3"/>
    <n v="370.22"/>
    <n v="1110.6600000000001"/>
  </r>
  <r>
    <x v="342"/>
    <x v="0"/>
    <x v="11"/>
    <x v="1"/>
    <x v="0"/>
    <x v="0"/>
    <x v="10"/>
    <n v="5"/>
    <n v="1138.74"/>
    <n v="5693.7"/>
  </r>
  <r>
    <x v="343"/>
    <x v="0"/>
    <x v="11"/>
    <x v="3"/>
    <x v="1"/>
    <x v="0"/>
    <x v="1"/>
    <n v="10"/>
    <n v="451.71"/>
    <n v="4517.1000000000004"/>
  </r>
  <r>
    <x v="344"/>
    <x v="0"/>
    <x v="11"/>
    <x v="3"/>
    <x v="1"/>
    <x v="3"/>
    <x v="4"/>
    <n v="1"/>
    <n v="1008.48"/>
    <n v="1008.48"/>
  </r>
  <r>
    <x v="345"/>
    <x v="0"/>
    <x v="11"/>
    <x v="0"/>
    <x v="3"/>
    <x v="6"/>
    <x v="3"/>
    <n v="10"/>
    <n v="1485.84"/>
    <n v="14858.4"/>
  </r>
  <r>
    <x v="346"/>
    <x v="0"/>
    <x v="11"/>
    <x v="1"/>
    <x v="1"/>
    <x v="3"/>
    <x v="16"/>
    <n v="6"/>
    <n v="584.73"/>
    <n v="3508.38"/>
  </r>
  <r>
    <x v="347"/>
    <x v="0"/>
    <x v="11"/>
    <x v="0"/>
    <x v="1"/>
    <x v="1"/>
    <x v="4"/>
    <n v="1"/>
    <n v="860.65"/>
    <n v="860.65"/>
  </r>
  <r>
    <x v="348"/>
    <x v="0"/>
    <x v="11"/>
    <x v="0"/>
    <x v="2"/>
    <x v="1"/>
    <x v="22"/>
    <n v="9"/>
    <n v="419.77"/>
    <n v="3777.93"/>
  </r>
  <r>
    <x v="349"/>
    <x v="0"/>
    <x v="11"/>
    <x v="0"/>
    <x v="3"/>
    <x v="4"/>
    <x v="7"/>
    <n v="2"/>
    <n v="191.06"/>
    <n v="382.12"/>
  </r>
  <r>
    <x v="350"/>
    <x v="0"/>
    <x v="11"/>
    <x v="4"/>
    <x v="0"/>
    <x v="2"/>
    <x v="29"/>
    <n v="6"/>
    <n v="1334.74"/>
    <n v="8008.44"/>
  </r>
  <r>
    <x v="351"/>
    <x v="0"/>
    <x v="11"/>
    <x v="4"/>
    <x v="0"/>
    <x v="2"/>
    <x v="17"/>
    <n v="2"/>
    <n v="1270.3900000000001"/>
    <n v="2540.7800000000002"/>
  </r>
  <r>
    <x v="352"/>
    <x v="0"/>
    <x v="11"/>
    <x v="4"/>
    <x v="0"/>
    <x v="5"/>
    <x v="17"/>
    <n v="8"/>
    <n v="888.94"/>
    <n v="7111.52"/>
  </r>
  <r>
    <x v="353"/>
    <x v="0"/>
    <x v="11"/>
    <x v="0"/>
    <x v="4"/>
    <x v="1"/>
    <x v="8"/>
    <n v="1"/>
    <n v="214.54"/>
    <n v="214.54"/>
  </r>
  <r>
    <x v="354"/>
    <x v="0"/>
    <x v="11"/>
    <x v="1"/>
    <x v="5"/>
    <x v="6"/>
    <x v="11"/>
    <n v="4"/>
    <n v="1491.33"/>
    <n v="5965.32"/>
  </r>
  <r>
    <x v="355"/>
    <x v="0"/>
    <x v="11"/>
    <x v="1"/>
    <x v="4"/>
    <x v="7"/>
    <x v="27"/>
    <n v="1"/>
    <n v="592.58000000000004"/>
    <n v="592.58000000000004"/>
  </r>
  <r>
    <x v="356"/>
    <x v="0"/>
    <x v="11"/>
    <x v="4"/>
    <x v="4"/>
    <x v="5"/>
    <x v="12"/>
    <n v="10"/>
    <n v="185.59"/>
    <n v="1855.9"/>
  </r>
  <r>
    <x v="357"/>
    <x v="0"/>
    <x v="11"/>
    <x v="4"/>
    <x v="2"/>
    <x v="3"/>
    <x v="21"/>
    <n v="10"/>
    <n v="509.65"/>
    <n v="5096.5"/>
  </r>
  <r>
    <x v="358"/>
    <x v="0"/>
    <x v="11"/>
    <x v="4"/>
    <x v="1"/>
    <x v="7"/>
    <x v="4"/>
    <n v="7"/>
    <n v="785.79"/>
    <n v="5500.53"/>
  </r>
  <r>
    <x v="359"/>
    <x v="0"/>
    <x v="11"/>
    <x v="0"/>
    <x v="1"/>
    <x v="4"/>
    <x v="24"/>
    <n v="4"/>
    <n v="742.64"/>
    <n v="2970.56"/>
  </r>
  <r>
    <x v="360"/>
    <x v="0"/>
    <x v="11"/>
    <x v="1"/>
    <x v="4"/>
    <x v="1"/>
    <x v="19"/>
    <n v="5"/>
    <n v="1057.8599999999999"/>
    <n v="5289.3"/>
  </r>
  <r>
    <x v="361"/>
    <x v="0"/>
    <x v="11"/>
    <x v="4"/>
    <x v="1"/>
    <x v="4"/>
    <x v="16"/>
    <n v="9"/>
    <n v="912.15"/>
    <n v="8209.35"/>
  </r>
  <r>
    <x v="362"/>
    <x v="0"/>
    <x v="11"/>
    <x v="0"/>
    <x v="3"/>
    <x v="0"/>
    <x v="26"/>
    <n v="9"/>
    <n v="337.82"/>
    <n v="3040.38"/>
  </r>
  <r>
    <x v="363"/>
    <x v="0"/>
    <x v="11"/>
    <x v="4"/>
    <x v="3"/>
    <x v="2"/>
    <x v="7"/>
    <n v="6"/>
    <n v="233.94"/>
    <n v="1403.64"/>
  </r>
  <r>
    <x v="364"/>
    <x v="1"/>
    <x v="0"/>
    <x v="2"/>
    <x v="3"/>
    <x v="3"/>
    <x v="7"/>
    <n v="5"/>
    <n v="60.89"/>
    <n v="304.45"/>
  </r>
  <r>
    <x v="365"/>
    <x v="1"/>
    <x v="0"/>
    <x v="0"/>
    <x v="2"/>
    <x v="7"/>
    <x v="6"/>
    <n v="3"/>
    <n v="668.76"/>
    <n v="2006.28"/>
  </r>
  <r>
    <x v="366"/>
    <x v="1"/>
    <x v="0"/>
    <x v="3"/>
    <x v="3"/>
    <x v="5"/>
    <x v="7"/>
    <n v="2"/>
    <n v="1350.53"/>
    <n v="2701.06"/>
  </r>
  <r>
    <x v="367"/>
    <x v="1"/>
    <x v="0"/>
    <x v="0"/>
    <x v="3"/>
    <x v="1"/>
    <x v="3"/>
    <n v="3"/>
    <n v="91.91"/>
    <n v="275.73"/>
  </r>
  <r>
    <x v="368"/>
    <x v="1"/>
    <x v="0"/>
    <x v="4"/>
    <x v="2"/>
    <x v="0"/>
    <x v="2"/>
    <n v="9"/>
    <n v="1087.25"/>
    <n v="9785.25"/>
  </r>
  <r>
    <x v="369"/>
    <x v="1"/>
    <x v="0"/>
    <x v="1"/>
    <x v="2"/>
    <x v="0"/>
    <x v="2"/>
    <n v="8"/>
    <n v="404.02"/>
    <n v="3232.16"/>
  </r>
  <r>
    <x v="370"/>
    <x v="1"/>
    <x v="0"/>
    <x v="4"/>
    <x v="1"/>
    <x v="3"/>
    <x v="4"/>
    <n v="3"/>
    <n v="1189.5"/>
    <n v="3568.5"/>
  </r>
  <r>
    <x v="371"/>
    <x v="1"/>
    <x v="0"/>
    <x v="2"/>
    <x v="2"/>
    <x v="6"/>
    <x v="6"/>
    <n v="6"/>
    <n v="1112.4000000000001"/>
    <n v="6674.4"/>
  </r>
  <r>
    <x v="372"/>
    <x v="1"/>
    <x v="0"/>
    <x v="4"/>
    <x v="0"/>
    <x v="7"/>
    <x v="10"/>
    <n v="5"/>
    <n v="192.14"/>
    <n v="960.7"/>
  </r>
  <r>
    <x v="373"/>
    <x v="1"/>
    <x v="0"/>
    <x v="3"/>
    <x v="3"/>
    <x v="2"/>
    <x v="7"/>
    <n v="8"/>
    <n v="1024.95"/>
    <n v="8199.6"/>
  </r>
  <r>
    <x v="374"/>
    <x v="1"/>
    <x v="0"/>
    <x v="4"/>
    <x v="0"/>
    <x v="7"/>
    <x v="0"/>
    <n v="3"/>
    <n v="642.04"/>
    <n v="1926.12"/>
  </r>
  <r>
    <x v="375"/>
    <x v="1"/>
    <x v="0"/>
    <x v="0"/>
    <x v="1"/>
    <x v="2"/>
    <x v="1"/>
    <n v="7"/>
    <n v="219.03"/>
    <n v="1533.21"/>
  </r>
  <r>
    <x v="376"/>
    <x v="1"/>
    <x v="0"/>
    <x v="3"/>
    <x v="5"/>
    <x v="0"/>
    <x v="28"/>
    <n v="3"/>
    <n v="318.20999999999998"/>
    <n v="954.63"/>
  </r>
  <r>
    <x v="377"/>
    <x v="1"/>
    <x v="0"/>
    <x v="3"/>
    <x v="4"/>
    <x v="3"/>
    <x v="8"/>
    <n v="6"/>
    <n v="55.45"/>
    <n v="332.7"/>
  </r>
  <r>
    <x v="378"/>
    <x v="1"/>
    <x v="0"/>
    <x v="2"/>
    <x v="2"/>
    <x v="4"/>
    <x v="6"/>
    <n v="9"/>
    <n v="163.55000000000001"/>
    <n v="1471.95"/>
  </r>
  <r>
    <x v="379"/>
    <x v="1"/>
    <x v="0"/>
    <x v="1"/>
    <x v="2"/>
    <x v="4"/>
    <x v="2"/>
    <n v="10"/>
    <n v="531.83000000000004"/>
    <n v="5318.3"/>
  </r>
  <r>
    <x v="380"/>
    <x v="1"/>
    <x v="0"/>
    <x v="2"/>
    <x v="3"/>
    <x v="4"/>
    <x v="25"/>
    <n v="6"/>
    <n v="566.86"/>
    <n v="3401.16"/>
  </r>
  <r>
    <x v="381"/>
    <x v="1"/>
    <x v="0"/>
    <x v="0"/>
    <x v="4"/>
    <x v="5"/>
    <x v="8"/>
    <n v="1"/>
    <n v="699.53"/>
    <n v="699.53"/>
  </r>
  <r>
    <x v="382"/>
    <x v="1"/>
    <x v="0"/>
    <x v="2"/>
    <x v="5"/>
    <x v="0"/>
    <x v="14"/>
    <n v="6"/>
    <n v="408.58"/>
    <n v="2451.48"/>
  </r>
  <r>
    <x v="383"/>
    <x v="1"/>
    <x v="0"/>
    <x v="0"/>
    <x v="1"/>
    <x v="2"/>
    <x v="24"/>
    <n v="7"/>
    <n v="730.9"/>
    <n v="5116.3"/>
  </r>
  <r>
    <x v="384"/>
    <x v="1"/>
    <x v="0"/>
    <x v="2"/>
    <x v="4"/>
    <x v="5"/>
    <x v="12"/>
    <n v="1"/>
    <n v="675.93"/>
    <n v="675.93"/>
  </r>
  <r>
    <x v="385"/>
    <x v="1"/>
    <x v="0"/>
    <x v="3"/>
    <x v="2"/>
    <x v="0"/>
    <x v="21"/>
    <n v="7"/>
    <n v="1144.0899999999999"/>
    <n v="8008.63"/>
  </r>
  <r>
    <x v="386"/>
    <x v="1"/>
    <x v="0"/>
    <x v="0"/>
    <x v="4"/>
    <x v="3"/>
    <x v="19"/>
    <n v="8"/>
    <n v="1350.53"/>
    <n v="10804.24"/>
  </r>
  <r>
    <x v="387"/>
    <x v="1"/>
    <x v="0"/>
    <x v="1"/>
    <x v="2"/>
    <x v="7"/>
    <x v="5"/>
    <n v="4"/>
    <n v="1427.44"/>
    <n v="5709.76"/>
  </r>
  <r>
    <x v="388"/>
    <x v="1"/>
    <x v="0"/>
    <x v="2"/>
    <x v="2"/>
    <x v="4"/>
    <x v="6"/>
    <n v="1"/>
    <n v="994.86"/>
    <n v="994.86"/>
  </r>
  <r>
    <x v="389"/>
    <x v="1"/>
    <x v="0"/>
    <x v="4"/>
    <x v="1"/>
    <x v="7"/>
    <x v="24"/>
    <n v="9"/>
    <n v="213.57"/>
    <n v="1922.13"/>
  </r>
  <r>
    <x v="390"/>
    <x v="1"/>
    <x v="0"/>
    <x v="4"/>
    <x v="4"/>
    <x v="5"/>
    <x v="8"/>
    <n v="7"/>
    <n v="478.07"/>
    <n v="3346.49"/>
  </r>
  <r>
    <x v="391"/>
    <x v="1"/>
    <x v="0"/>
    <x v="0"/>
    <x v="3"/>
    <x v="4"/>
    <x v="25"/>
    <n v="7"/>
    <n v="337.32"/>
    <n v="2361.2399999999998"/>
  </r>
  <r>
    <x v="392"/>
    <x v="1"/>
    <x v="0"/>
    <x v="0"/>
    <x v="0"/>
    <x v="3"/>
    <x v="17"/>
    <n v="1"/>
    <n v="1326.12"/>
    <n v="1326.12"/>
  </r>
  <r>
    <x v="393"/>
    <x v="1"/>
    <x v="0"/>
    <x v="3"/>
    <x v="5"/>
    <x v="2"/>
    <x v="20"/>
    <n v="10"/>
    <n v="234.43"/>
    <n v="2344.3000000000002"/>
  </r>
  <r>
    <x v="394"/>
    <x v="1"/>
    <x v="0"/>
    <x v="3"/>
    <x v="4"/>
    <x v="0"/>
    <x v="19"/>
    <n v="5"/>
    <n v="225.29"/>
    <n v="1126.45"/>
  </r>
  <r>
    <x v="395"/>
    <x v="1"/>
    <x v="1"/>
    <x v="1"/>
    <x v="3"/>
    <x v="0"/>
    <x v="25"/>
    <n v="5"/>
    <n v="1294.77"/>
    <n v="6473.85"/>
  </r>
  <r>
    <x v="396"/>
    <x v="1"/>
    <x v="1"/>
    <x v="4"/>
    <x v="0"/>
    <x v="0"/>
    <x v="10"/>
    <n v="9"/>
    <n v="20.37"/>
    <n v="183.33"/>
  </r>
  <r>
    <x v="397"/>
    <x v="1"/>
    <x v="1"/>
    <x v="4"/>
    <x v="0"/>
    <x v="0"/>
    <x v="10"/>
    <n v="7"/>
    <n v="1060.49"/>
    <n v="7423.43"/>
  </r>
  <r>
    <x v="398"/>
    <x v="1"/>
    <x v="1"/>
    <x v="3"/>
    <x v="5"/>
    <x v="5"/>
    <x v="11"/>
    <n v="9"/>
    <n v="82.26"/>
    <n v="740.34"/>
  </r>
  <r>
    <x v="399"/>
    <x v="1"/>
    <x v="1"/>
    <x v="3"/>
    <x v="2"/>
    <x v="1"/>
    <x v="6"/>
    <n v="8"/>
    <n v="922.57"/>
    <n v="7380.56"/>
  </r>
  <r>
    <x v="400"/>
    <x v="1"/>
    <x v="1"/>
    <x v="3"/>
    <x v="5"/>
    <x v="1"/>
    <x v="20"/>
    <n v="1"/>
    <n v="106.27"/>
    <n v="106.27"/>
  </r>
  <r>
    <x v="401"/>
    <x v="1"/>
    <x v="1"/>
    <x v="2"/>
    <x v="5"/>
    <x v="7"/>
    <x v="14"/>
    <n v="1"/>
    <n v="810.79"/>
    <n v="810.79"/>
  </r>
  <r>
    <x v="402"/>
    <x v="1"/>
    <x v="1"/>
    <x v="3"/>
    <x v="0"/>
    <x v="1"/>
    <x v="29"/>
    <n v="10"/>
    <n v="496.75"/>
    <n v="4967.5"/>
  </r>
  <r>
    <x v="403"/>
    <x v="1"/>
    <x v="1"/>
    <x v="2"/>
    <x v="5"/>
    <x v="1"/>
    <x v="11"/>
    <n v="4"/>
    <n v="851.79"/>
    <n v="3407.16"/>
  </r>
  <r>
    <x v="404"/>
    <x v="1"/>
    <x v="1"/>
    <x v="3"/>
    <x v="4"/>
    <x v="5"/>
    <x v="12"/>
    <n v="10"/>
    <n v="545.13"/>
    <n v="5451.3"/>
  </r>
  <r>
    <x v="405"/>
    <x v="1"/>
    <x v="1"/>
    <x v="4"/>
    <x v="0"/>
    <x v="6"/>
    <x v="0"/>
    <n v="7"/>
    <n v="1129.44"/>
    <n v="7906.08"/>
  </r>
  <r>
    <x v="406"/>
    <x v="1"/>
    <x v="1"/>
    <x v="4"/>
    <x v="5"/>
    <x v="4"/>
    <x v="20"/>
    <n v="7"/>
    <n v="240.02"/>
    <n v="1680.14"/>
  </r>
  <r>
    <x v="407"/>
    <x v="1"/>
    <x v="1"/>
    <x v="4"/>
    <x v="3"/>
    <x v="4"/>
    <x v="3"/>
    <n v="4"/>
    <n v="1472.53"/>
    <n v="5890.12"/>
  </r>
  <r>
    <x v="408"/>
    <x v="1"/>
    <x v="1"/>
    <x v="4"/>
    <x v="3"/>
    <x v="2"/>
    <x v="7"/>
    <n v="8"/>
    <n v="1265.3599999999999"/>
    <n v="10122.879999999999"/>
  </r>
  <r>
    <x v="409"/>
    <x v="1"/>
    <x v="1"/>
    <x v="2"/>
    <x v="4"/>
    <x v="3"/>
    <x v="19"/>
    <n v="4"/>
    <n v="593.55999999999995"/>
    <n v="2374.2399999999998"/>
  </r>
  <r>
    <x v="410"/>
    <x v="1"/>
    <x v="1"/>
    <x v="4"/>
    <x v="4"/>
    <x v="7"/>
    <x v="27"/>
    <n v="1"/>
    <n v="220.69"/>
    <n v="220.69"/>
  </r>
  <r>
    <x v="411"/>
    <x v="1"/>
    <x v="1"/>
    <x v="3"/>
    <x v="3"/>
    <x v="6"/>
    <x v="15"/>
    <n v="2"/>
    <n v="583.39"/>
    <n v="1166.78"/>
  </r>
  <r>
    <x v="412"/>
    <x v="1"/>
    <x v="1"/>
    <x v="1"/>
    <x v="4"/>
    <x v="7"/>
    <x v="19"/>
    <n v="3"/>
    <n v="928.89"/>
    <n v="2786.67"/>
  </r>
  <r>
    <x v="413"/>
    <x v="1"/>
    <x v="1"/>
    <x v="3"/>
    <x v="3"/>
    <x v="4"/>
    <x v="25"/>
    <n v="1"/>
    <n v="133.47999999999999"/>
    <n v="133.47999999999999"/>
  </r>
  <r>
    <x v="414"/>
    <x v="1"/>
    <x v="1"/>
    <x v="4"/>
    <x v="5"/>
    <x v="7"/>
    <x v="20"/>
    <n v="1"/>
    <n v="1080.7"/>
    <n v="1080.7"/>
  </r>
  <r>
    <x v="415"/>
    <x v="1"/>
    <x v="1"/>
    <x v="2"/>
    <x v="2"/>
    <x v="7"/>
    <x v="21"/>
    <n v="1"/>
    <n v="173.27"/>
    <n v="173.27"/>
  </r>
  <r>
    <x v="416"/>
    <x v="1"/>
    <x v="1"/>
    <x v="0"/>
    <x v="0"/>
    <x v="2"/>
    <x v="17"/>
    <n v="7"/>
    <n v="42.16"/>
    <n v="295.12"/>
  </r>
  <r>
    <x v="417"/>
    <x v="1"/>
    <x v="1"/>
    <x v="1"/>
    <x v="3"/>
    <x v="6"/>
    <x v="25"/>
    <n v="7"/>
    <n v="1151.58"/>
    <n v="8061.06"/>
  </r>
  <r>
    <x v="418"/>
    <x v="1"/>
    <x v="1"/>
    <x v="1"/>
    <x v="1"/>
    <x v="0"/>
    <x v="4"/>
    <n v="4"/>
    <n v="204.8"/>
    <n v="819.2"/>
  </r>
  <r>
    <x v="419"/>
    <x v="1"/>
    <x v="1"/>
    <x v="2"/>
    <x v="5"/>
    <x v="6"/>
    <x v="20"/>
    <n v="3"/>
    <n v="1048.17"/>
    <n v="3144.51"/>
  </r>
  <r>
    <x v="420"/>
    <x v="1"/>
    <x v="1"/>
    <x v="1"/>
    <x v="5"/>
    <x v="3"/>
    <x v="14"/>
    <n v="10"/>
    <n v="913.17"/>
    <n v="9131.7000000000007"/>
  </r>
  <r>
    <x v="421"/>
    <x v="1"/>
    <x v="1"/>
    <x v="4"/>
    <x v="4"/>
    <x v="1"/>
    <x v="19"/>
    <n v="6"/>
    <n v="869.89"/>
    <n v="5219.34"/>
  </r>
  <r>
    <x v="422"/>
    <x v="1"/>
    <x v="1"/>
    <x v="1"/>
    <x v="0"/>
    <x v="2"/>
    <x v="10"/>
    <n v="2"/>
    <n v="712.28"/>
    <n v="1424.56"/>
  </r>
  <r>
    <x v="423"/>
    <x v="1"/>
    <x v="2"/>
    <x v="0"/>
    <x v="1"/>
    <x v="1"/>
    <x v="13"/>
    <n v="9"/>
    <n v="1484.05"/>
    <n v="13356.45"/>
  </r>
  <r>
    <x v="424"/>
    <x v="1"/>
    <x v="2"/>
    <x v="0"/>
    <x v="1"/>
    <x v="0"/>
    <x v="4"/>
    <n v="4"/>
    <n v="1326.83"/>
    <n v="5307.32"/>
  </r>
  <r>
    <x v="425"/>
    <x v="1"/>
    <x v="2"/>
    <x v="4"/>
    <x v="5"/>
    <x v="0"/>
    <x v="14"/>
    <n v="8"/>
    <n v="1150.69"/>
    <n v="9205.52"/>
  </r>
  <r>
    <x v="426"/>
    <x v="1"/>
    <x v="2"/>
    <x v="4"/>
    <x v="2"/>
    <x v="5"/>
    <x v="22"/>
    <n v="10"/>
    <n v="507.05"/>
    <n v="5070.5"/>
  </r>
  <r>
    <x v="427"/>
    <x v="1"/>
    <x v="2"/>
    <x v="1"/>
    <x v="4"/>
    <x v="2"/>
    <x v="27"/>
    <n v="6"/>
    <n v="198.47"/>
    <n v="1190.82"/>
  </r>
  <r>
    <x v="428"/>
    <x v="1"/>
    <x v="2"/>
    <x v="1"/>
    <x v="5"/>
    <x v="1"/>
    <x v="20"/>
    <n v="3"/>
    <n v="129.84"/>
    <n v="389.52"/>
  </r>
  <r>
    <x v="429"/>
    <x v="1"/>
    <x v="2"/>
    <x v="4"/>
    <x v="5"/>
    <x v="4"/>
    <x v="11"/>
    <n v="7"/>
    <n v="360.31"/>
    <n v="2522.17"/>
  </r>
  <r>
    <x v="430"/>
    <x v="1"/>
    <x v="2"/>
    <x v="4"/>
    <x v="5"/>
    <x v="6"/>
    <x v="18"/>
    <n v="2"/>
    <n v="711.75"/>
    <n v="1423.5"/>
  </r>
  <r>
    <x v="431"/>
    <x v="1"/>
    <x v="2"/>
    <x v="3"/>
    <x v="1"/>
    <x v="0"/>
    <x v="13"/>
    <n v="10"/>
    <n v="1268.8699999999999"/>
    <n v="12688.7"/>
  </r>
  <r>
    <x v="432"/>
    <x v="1"/>
    <x v="2"/>
    <x v="1"/>
    <x v="3"/>
    <x v="4"/>
    <x v="15"/>
    <n v="6"/>
    <n v="53.83"/>
    <n v="322.98"/>
  </r>
  <r>
    <x v="433"/>
    <x v="1"/>
    <x v="2"/>
    <x v="1"/>
    <x v="4"/>
    <x v="6"/>
    <x v="23"/>
    <n v="6"/>
    <n v="140.22999999999999"/>
    <n v="841.38"/>
  </r>
  <r>
    <x v="434"/>
    <x v="1"/>
    <x v="2"/>
    <x v="4"/>
    <x v="0"/>
    <x v="7"/>
    <x v="10"/>
    <n v="3"/>
    <n v="167.82"/>
    <n v="503.46"/>
  </r>
  <r>
    <x v="435"/>
    <x v="1"/>
    <x v="2"/>
    <x v="0"/>
    <x v="0"/>
    <x v="5"/>
    <x v="9"/>
    <n v="9"/>
    <n v="235.99"/>
    <n v="2123.91"/>
  </r>
  <r>
    <x v="436"/>
    <x v="1"/>
    <x v="2"/>
    <x v="3"/>
    <x v="5"/>
    <x v="7"/>
    <x v="28"/>
    <n v="2"/>
    <n v="1189.3800000000001"/>
    <n v="2378.7600000000002"/>
  </r>
  <r>
    <x v="437"/>
    <x v="1"/>
    <x v="2"/>
    <x v="2"/>
    <x v="0"/>
    <x v="4"/>
    <x v="9"/>
    <n v="1"/>
    <n v="875.79"/>
    <n v="875.79"/>
  </r>
  <r>
    <x v="438"/>
    <x v="1"/>
    <x v="2"/>
    <x v="0"/>
    <x v="1"/>
    <x v="4"/>
    <x v="16"/>
    <n v="8"/>
    <n v="549.83000000000004"/>
    <n v="4398.6400000000003"/>
  </r>
  <r>
    <x v="439"/>
    <x v="1"/>
    <x v="2"/>
    <x v="1"/>
    <x v="3"/>
    <x v="2"/>
    <x v="15"/>
    <n v="10"/>
    <n v="1343.53"/>
    <n v="13435.3"/>
  </r>
  <r>
    <x v="440"/>
    <x v="1"/>
    <x v="2"/>
    <x v="1"/>
    <x v="1"/>
    <x v="6"/>
    <x v="1"/>
    <n v="3"/>
    <n v="447.92"/>
    <n v="1343.76"/>
  </r>
  <r>
    <x v="441"/>
    <x v="1"/>
    <x v="2"/>
    <x v="3"/>
    <x v="1"/>
    <x v="4"/>
    <x v="13"/>
    <n v="7"/>
    <n v="362.05"/>
    <n v="2534.35"/>
  </r>
  <r>
    <x v="442"/>
    <x v="1"/>
    <x v="2"/>
    <x v="1"/>
    <x v="5"/>
    <x v="7"/>
    <x v="14"/>
    <n v="5"/>
    <n v="699.92"/>
    <n v="3499.6"/>
  </r>
  <r>
    <x v="443"/>
    <x v="1"/>
    <x v="2"/>
    <x v="1"/>
    <x v="2"/>
    <x v="5"/>
    <x v="21"/>
    <n v="4"/>
    <n v="1097.94"/>
    <n v="4391.76"/>
  </r>
  <r>
    <x v="444"/>
    <x v="1"/>
    <x v="2"/>
    <x v="3"/>
    <x v="0"/>
    <x v="3"/>
    <x v="9"/>
    <n v="5"/>
    <n v="1459.65"/>
    <n v="7298.25"/>
  </r>
  <r>
    <x v="445"/>
    <x v="1"/>
    <x v="2"/>
    <x v="3"/>
    <x v="1"/>
    <x v="6"/>
    <x v="1"/>
    <n v="6"/>
    <n v="30.59"/>
    <n v="183.54"/>
  </r>
  <r>
    <x v="446"/>
    <x v="1"/>
    <x v="2"/>
    <x v="3"/>
    <x v="5"/>
    <x v="5"/>
    <x v="28"/>
    <n v="9"/>
    <n v="1215"/>
    <n v="10935"/>
  </r>
  <r>
    <x v="447"/>
    <x v="1"/>
    <x v="2"/>
    <x v="3"/>
    <x v="0"/>
    <x v="7"/>
    <x v="0"/>
    <n v="7"/>
    <n v="1274.01"/>
    <n v="8918.07"/>
  </r>
  <r>
    <x v="448"/>
    <x v="1"/>
    <x v="2"/>
    <x v="1"/>
    <x v="3"/>
    <x v="6"/>
    <x v="26"/>
    <n v="3"/>
    <n v="368.05"/>
    <n v="1104.1500000000001"/>
  </r>
  <r>
    <x v="449"/>
    <x v="1"/>
    <x v="2"/>
    <x v="1"/>
    <x v="5"/>
    <x v="6"/>
    <x v="28"/>
    <n v="10"/>
    <n v="1292.4000000000001"/>
    <n v="12924"/>
  </r>
  <r>
    <x v="450"/>
    <x v="1"/>
    <x v="2"/>
    <x v="1"/>
    <x v="3"/>
    <x v="2"/>
    <x v="15"/>
    <n v="8"/>
    <n v="1198.03"/>
    <n v="9584.24"/>
  </r>
  <r>
    <x v="451"/>
    <x v="1"/>
    <x v="2"/>
    <x v="2"/>
    <x v="2"/>
    <x v="1"/>
    <x v="22"/>
    <n v="7"/>
    <n v="1418.05"/>
    <n v="9926.35"/>
  </r>
  <r>
    <x v="452"/>
    <x v="1"/>
    <x v="2"/>
    <x v="4"/>
    <x v="5"/>
    <x v="7"/>
    <x v="18"/>
    <n v="6"/>
    <n v="1406.72"/>
    <n v="8440.32"/>
  </r>
  <r>
    <x v="453"/>
    <x v="1"/>
    <x v="2"/>
    <x v="2"/>
    <x v="5"/>
    <x v="6"/>
    <x v="18"/>
    <n v="7"/>
    <n v="868.16"/>
    <n v="6077.12"/>
  </r>
  <r>
    <x v="454"/>
    <x v="1"/>
    <x v="3"/>
    <x v="4"/>
    <x v="4"/>
    <x v="1"/>
    <x v="27"/>
    <n v="6"/>
    <n v="431.23"/>
    <n v="2587.38"/>
  </r>
  <r>
    <x v="455"/>
    <x v="1"/>
    <x v="3"/>
    <x v="2"/>
    <x v="5"/>
    <x v="5"/>
    <x v="18"/>
    <n v="8"/>
    <n v="960.51"/>
    <n v="7684.08"/>
  </r>
  <r>
    <x v="456"/>
    <x v="1"/>
    <x v="3"/>
    <x v="3"/>
    <x v="2"/>
    <x v="1"/>
    <x v="2"/>
    <n v="3"/>
    <n v="628.75"/>
    <n v="1886.25"/>
  </r>
  <r>
    <x v="457"/>
    <x v="1"/>
    <x v="3"/>
    <x v="3"/>
    <x v="1"/>
    <x v="4"/>
    <x v="1"/>
    <n v="8"/>
    <n v="877.67"/>
    <n v="7021.36"/>
  </r>
  <r>
    <x v="458"/>
    <x v="1"/>
    <x v="3"/>
    <x v="0"/>
    <x v="5"/>
    <x v="2"/>
    <x v="14"/>
    <n v="8"/>
    <n v="1150.47"/>
    <n v="9203.76"/>
  </r>
  <r>
    <x v="459"/>
    <x v="1"/>
    <x v="3"/>
    <x v="1"/>
    <x v="0"/>
    <x v="6"/>
    <x v="9"/>
    <n v="10"/>
    <n v="89.08"/>
    <n v="890.8"/>
  </r>
  <r>
    <x v="460"/>
    <x v="1"/>
    <x v="3"/>
    <x v="1"/>
    <x v="3"/>
    <x v="7"/>
    <x v="3"/>
    <n v="5"/>
    <n v="1133.77"/>
    <n v="5668.85"/>
  </r>
  <r>
    <x v="461"/>
    <x v="1"/>
    <x v="3"/>
    <x v="4"/>
    <x v="0"/>
    <x v="6"/>
    <x v="29"/>
    <n v="10"/>
    <n v="1120.74"/>
    <n v="11207.4"/>
  </r>
  <r>
    <x v="462"/>
    <x v="1"/>
    <x v="3"/>
    <x v="4"/>
    <x v="3"/>
    <x v="7"/>
    <x v="25"/>
    <n v="8"/>
    <n v="1048.0999999999999"/>
    <n v="8384.7999999999993"/>
  </r>
  <r>
    <x v="463"/>
    <x v="1"/>
    <x v="3"/>
    <x v="2"/>
    <x v="0"/>
    <x v="4"/>
    <x v="29"/>
    <n v="8"/>
    <n v="1273.4000000000001"/>
    <n v="10187.200000000001"/>
  </r>
  <r>
    <x v="464"/>
    <x v="1"/>
    <x v="3"/>
    <x v="0"/>
    <x v="2"/>
    <x v="7"/>
    <x v="21"/>
    <n v="2"/>
    <n v="1289.1099999999999"/>
    <n v="2578.2199999999998"/>
  </r>
  <r>
    <x v="465"/>
    <x v="1"/>
    <x v="3"/>
    <x v="4"/>
    <x v="1"/>
    <x v="5"/>
    <x v="16"/>
    <n v="6"/>
    <n v="55.81"/>
    <n v="334.86"/>
  </r>
  <r>
    <x v="466"/>
    <x v="1"/>
    <x v="3"/>
    <x v="1"/>
    <x v="4"/>
    <x v="1"/>
    <x v="23"/>
    <n v="3"/>
    <n v="616.96"/>
    <n v="1850.88"/>
  </r>
  <r>
    <x v="467"/>
    <x v="1"/>
    <x v="3"/>
    <x v="2"/>
    <x v="1"/>
    <x v="5"/>
    <x v="16"/>
    <n v="5"/>
    <n v="750.33"/>
    <n v="3751.65"/>
  </r>
  <r>
    <x v="468"/>
    <x v="1"/>
    <x v="3"/>
    <x v="2"/>
    <x v="3"/>
    <x v="6"/>
    <x v="7"/>
    <n v="6"/>
    <n v="1069.9100000000001"/>
    <n v="6419.46"/>
  </r>
  <r>
    <x v="469"/>
    <x v="1"/>
    <x v="3"/>
    <x v="4"/>
    <x v="2"/>
    <x v="0"/>
    <x v="6"/>
    <n v="9"/>
    <n v="1150.4000000000001"/>
    <n v="10353.6"/>
  </r>
  <r>
    <x v="470"/>
    <x v="1"/>
    <x v="3"/>
    <x v="0"/>
    <x v="3"/>
    <x v="5"/>
    <x v="25"/>
    <n v="4"/>
    <n v="444.04"/>
    <n v="1776.16"/>
  </r>
  <r>
    <x v="471"/>
    <x v="1"/>
    <x v="3"/>
    <x v="2"/>
    <x v="2"/>
    <x v="3"/>
    <x v="21"/>
    <n v="9"/>
    <n v="417.95"/>
    <n v="3761.55"/>
  </r>
  <r>
    <x v="472"/>
    <x v="1"/>
    <x v="3"/>
    <x v="1"/>
    <x v="3"/>
    <x v="3"/>
    <x v="3"/>
    <n v="8"/>
    <n v="547.96"/>
    <n v="4383.68"/>
  </r>
  <r>
    <x v="473"/>
    <x v="1"/>
    <x v="3"/>
    <x v="1"/>
    <x v="2"/>
    <x v="0"/>
    <x v="2"/>
    <n v="6"/>
    <n v="729.6"/>
    <n v="4377.6000000000004"/>
  </r>
  <r>
    <x v="474"/>
    <x v="1"/>
    <x v="3"/>
    <x v="4"/>
    <x v="2"/>
    <x v="5"/>
    <x v="6"/>
    <n v="4"/>
    <n v="221.62"/>
    <n v="886.48"/>
  </r>
  <r>
    <x v="475"/>
    <x v="1"/>
    <x v="3"/>
    <x v="2"/>
    <x v="5"/>
    <x v="3"/>
    <x v="18"/>
    <n v="3"/>
    <n v="1322.34"/>
    <n v="3967.02"/>
  </r>
  <r>
    <x v="476"/>
    <x v="1"/>
    <x v="3"/>
    <x v="0"/>
    <x v="2"/>
    <x v="2"/>
    <x v="5"/>
    <n v="3"/>
    <n v="341.68"/>
    <n v="1025.04"/>
  </r>
  <r>
    <x v="477"/>
    <x v="1"/>
    <x v="3"/>
    <x v="3"/>
    <x v="2"/>
    <x v="1"/>
    <x v="5"/>
    <n v="6"/>
    <n v="55.71"/>
    <n v="334.26"/>
  </r>
  <r>
    <x v="478"/>
    <x v="1"/>
    <x v="3"/>
    <x v="3"/>
    <x v="3"/>
    <x v="1"/>
    <x v="3"/>
    <n v="7"/>
    <n v="765.96"/>
    <n v="5361.72"/>
  </r>
  <r>
    <x v="479"/>
    <x v="1"/>
    <x v="3"/>
    <x v="4"/>
    <x v="1"/>
    <x v="4"/>
    <x v="24"/>
    <n v="6"/>
    <n v="318.91000000000003"/>
    <n v="1913.46"/>
  </r>
  <r>
    <x v="480"/>
    <x v="1"/>
    <x v="3"/>
    <x v="0"/>
    <x v="1"/>
    <x v="1"/>
    <x v="13"/>
    <n v="7"/>
    <n v="508.8"/>
    <n v="3561.6"/>
  </r>
  <r>
    <x v="481"/>
    <x v="1"/>
    <x v="3"/>
    <x v="3"/>
    <x v="1"/>
    <x v="4"/>
    <x v="13"/>
    <n v="10"/>
    <n v="245.84"/>
    <n v="2458.4"/>
  </r>
  <r>
    <x v="482"/>
    <x v="1"/>
    <x v="3"/>
    <x v="1"/>
    <x v="1"/>
    <x v="7"/>
    <x v="16"/>
    <n v="2"/>
    <n v="361.57"/>
    <n v="723.14"/>
  </r>
  <r>
    <x v="483"/>
    <x v="1"/>
    <x v="3"/>
    <x v="0"/>
    <x v="1"/>
    <x v="0"/>
    <x v="24"/>
    <n v="1"/>
    <n v="1251.02"/>
    <n v="1251.02"/>
  </r>
  <r>
    <x v="484"/>
    <x v="1"/>
    <x v="4"/>
    <x v="1"/>
    <x v="4"/>
    <x v="3"/>
    <x v="19"/>
    <n v="10"/>
    <n v="695.11"/>
    <n v="6951.1"/>
  </r>
  <r>
    <x v="485"/>
    <x v="1"/>
    <x v="4"/>
    <x v="2"/>
    <x v="4"/>
    <x v="5"/>
    <x v="19"/>
    <n v="5"/>
    <n v="808.19"/>
    <n v="4040.95"/>
  </r>
  <r>
    <x v="486"/>
    <x v="1"/>
    <x v="4"/>
    <x v="0"/>
    <x v="4"/>
    <x v="4"/>
    <x v="19"/>
    <n v="8"/>
    <n v="711.72"/>
    <n v="5693.76"/>
  </r>
  <r>
    <x v="487"/>
    <x v="1"/>
    <x v="4"/>
    <x v="3"/>
    <x v="3"/>
    <x v="0"/>
    <x v="25"/>
    <n v="4"/>
    <n v="347.56"/>
    <n v="1390.24"/>
  </r>
  <r>
    <x v="488"/>
    <x v="1"/>
    <x v="4"/>
    <x v="2"/>
    <x v="5"/>
    <x v="5"/>
    <x v="11"/>
    <n v="8"/>
    <n v="1441.32"/>
    <n v="11530.56"/>
  </r>
  <r>
    <x v="489"/>
    <x v="1"/>
    <x v="4"/>
    <x v="2"/>
    <x v="2"/>
    <x v="6"/>
    <x v="22"/>
    <n v="2"/>
    <n v="1411.35"/>
    <n v="2822.7"/>
  </r>
  <r>
    <x v="490"/>
    <x v="1"/>
    <x v="4"/>
    <x v="3"/>
    <x v="2"/>
    <x v="0"/>
    <x v="5"/>
    <n v="6"/>
    <n v="1021.01"/>
    <n v="6126.06"/>
  </r>
  <r>
    <x v="491"/>
    <x v="1"/>
    <x v="4"/>
    <x v="0"/>
    <x v="3"/>
    <x v="2"/>
    <x v="3"/>
    <n v="7"/>
    <n v="136.88999999999999"/>
    <n v="958.23"/>
  </r>
  <r>
    <x v="492"/>
    <x v="1"/>
    <x v="4"/>
    <x v="3"/>
    <x v="0"/>
    <x v="1"/>
    <x v="0"/>
    <n v="10"/>
    <n v="1044.81"/>
    <n v="10448.1"/>
  </r>
  <r>
    <x v="493"/>
    <x v="1"/>
    <x v="4"/>
    <x v="1"/>
    <x v="2"/>
    <x v="0"/>
    <x v="21"/>
    <n v="8"/>
    <n v="82.38"/>
    <n v="659.04"/>
  </r>
  <r>
    <x v="494"/>
    <x v="1"/>
    <x v="4"/>
    <x v="0"/>
    <x v="3"/>
    <x v="0"/>
    <x v="7"/>
    <n v="9"/>
    <n v="1154.3499999999999"/>
    <n v="10389.15"/>
  </r>
  <r>
    <x v="495"/>
    <x v="1"/>
    <x v="4"/>
    <x v="1"/>
    <x v="0"/>
    <x v="3"/>
    <x v="10"/>
    <n v="10"/>
    <n v="482.63"/>
    <n v="4826.3"/>
  </r>
  <r>
    <x v="496"/>
    <x v="1"/>
    <x v="4"/>
    <x v="2"/>
    <x v="2"/>
    <x v="1"/>
    <x v="22"/>
    <n v="4"/>
    <n v="541.64"/>
    <n v="2166.56"/>
  </r>
  <r>
    <x v="497"/>
    <x v="1"/>
    <x v="4"/>
    <x v="3"/>
    <x v="0"/>
    <x v="5"/>
    <x v="9"/>
    <n v="3"/>
    <n v="1388.01"/>
    <n v="4164.03"/>
  </r>
  <r>
    <x v="498"/>
    <x v="1"/>
    <x v="4"/>
    <x v="3"/>
    <x v="2"/>
    <x v="7"/>
    <x v="6"/>
    <n v="4"/>
    <n v="318.24"/>
    <n v="1272.9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BBC16A-3415-5F42-9750-DE006AA53AB3}" name="TablaDinámica1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Productos">
  <location ref="J6:K13" firstHeaderRow="1" firstDataRow="1" firstDataCol="1"/>
  <pivotFields count="10">
    <pivotField numFmtId="14" showAll="0"/>
    <pivotField showAll="0"/>
    <pivotField showAll="0"/>
    <pivotField showAll="0"/>
    <pivotField axis="axisRow" showAll="0" sortType="descending">
      <items count="7">
        <item x="2"/>
        <item x="0"/>
        <item x="1"/>
        <item x="3"/>
        <item x="4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44" showAll="0"/>
    <pivotField dataField="1" numFmtId="44" showAll="0"/>
  </pivotFields>
  <rowFields count="1">
    <field x="4"/>
  </rowFields>
  <rowItems count="7">
    <i>
      <x v="2"/>
    </i>
    <i>
      <x v="1"/>
    </i>
    <i>
      <x/>
    </i>
    <i>
      <x v="3"/>
    </i>
    <i>
      <x v="5"/>
    </i>
    <i>
      <x v="4"/>
    </i>
    <i t="grand">
      <x/>
    </i>
  </rowItems>
  <colItems count="1">
    <i/>
  </colItems>
  <dataFields count="1">
    <dataField name=" Total" fld="9" baseField="0" baseItem="0" numFmtId="44"/>
  </dataFields>
  <formats count="4">
    <format dxfId="3">
      <pivotArea field="4" type="button" dataOnly="0" labelOnly="1" outline="0" axis="axisRow" fieldPosition="0"/>
    </format>
    <format dxfId="2">
      <pivotArea dataOnly="0" labelOnly="1" outline="0" axis="axisValues" fieldPosition="0"/>
    </format>
    <format dxfId="1">
      <pivotArea field="4" type="button" dataOnly="0" labelOnly="1" outline="0" axis="axisRow" fieldPosition="0"/>
    </format>
    <format dxfId="0">
      <pivotArea dataOnly="0" labelOnly="1" outline="0" axis="axisValues" fieldPosition="0"/>
    </format>
  </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7A7FB3-DB70-D042-B70F-AF82B2385464}" name="TablaDinámica1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3:B39" firstHeaderRow="1" firstDataRow="1" firstDataCol="1"/>
  <pivotFields count="10">
    <pivotField numFmtId="14" showAll="0"/>
    <pivotField showAll="0"/>
    <pivotField showAll="0"/>
    <pivotField axis="axisRow" showAll="0" sortType="descending">
      <items count="6">
        <item x="1"/>
        <item x="3"/>
        <item x="2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44" showAll="0"/>
    <pivotField dataField="1" numFmtId="44" showAll="0"/>
  </pivotFields>
  <rowFields count="1">
    <field x="3"/>
  </rowFields>
  <rowItems count="6">
    <i>
      <x/>
    </i>
    <i>
      <x v="1"/>
    </i>
    <i>
      <x v="4"/>
    </i>
    <i>
      <x v="3"/>
    </i>
    <i>
      <x v="2"/>
    </i>
    <i t="grand">
      <x/>
    </i>
  </rowItems>
  <colItems count="1">
    <i/>
  </colItems>
  <dataFields count="1">
    <dataField name="Suma de Total" fld="9" baseField="0" baseItem="0" numFmtId="44"/>
  </dataField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B0AA98-0A46-4E49-B2CD-5AC07EFB3A1A}" name="TablaDinámica1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J31:K51" firstHeaderRow="1" firstDataRow="1" firstDataCol="1"/>
  <pivotFields count="10">
    <pivotField numFmtId="14" showAll="0"/>
    <pivotField axis="axisRow" showAll="0">
      <items count="3">
        <item x="0"/>
        <item x="1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numFmtId="44" showAll="0"/>
    <pivotField dataField="1" numFmtId="44" showAll="0"/>
  </pivotFields>
  <rowFields count="2">
    <field x="1"/>
    <field x="2"/>
  </rowFields>
  <rowItems count="20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Suma de Total" fld="9" baseField="0" baseItem="0" numFmtId="44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Dark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4A0704-F6A9-E849-9EAD-200E5B3CE876}" name="TablaDinámica1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 Producto ">
  <location ref="F3:G34" firstHeaderRow="1" firstDataRow="1" firstDataCol="1"/>
  <pivotFields count="10">
    <pivotField numFmtId="14" showAll="0"/>
    <pivotField showAll="0"/>
    <pivotField showAll="0"/>
    <pivotField showAll="0"/>
    <pivotField showAll="0"/>
    <pivotField showAll="0"/>
    <pivotField axis="axisRow" showAll="0" sortType="descending">
      <items count="31">
        <item x="22"/>
        <item x="4"/>
        <item x="25"/>
        <item x="7"/>
        <item x="3"/>
        <item x="18"/>
        <item x="27"/>
        <item x="0"/>
        <item x="5"/>
        <item x="13"/>
        <item x="28"/>
        <item x="14"/>
        <item x="2"/>
        <item x="29"/>
        <item x="24"/>
        <item x="20"/>
        <item x="16"/>
        <item x="9"/>
        <item x="26"/>
        <item x="8"/>
        <item x="10"/>
        <item x="19"/>
        <item x="11"/>
        <item x="6"/>
        <item x="21"/>
        <item x="1"/>
        <item x="23"/>
        <item x="12"/>
        <item x="17"/>
        <item x="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numFmtId="44" showAll="0"/>
    <pivotField numFmtId="44" showAll="0"/>
  </pivotFields>
  <rowFields count="1">
    <field x="6"/>
  </rowFields>
  <rowItems count="31">
    <i>
      <x v="25"/>
    </i>
    <i>
      <x v="11"/>
    </i>
    <i>
      <x v="7"/>
    </i>
    <i>
      <x v="23"/>
    </i>
    <i>
      <x v="14"/>
    </i>
    <i>
      <x v="4"/>
    </i>
    <i>
      <x v="27"/>
    </i>
    <i>
      <x v="20"/>
    </i>
    <i>
      <x v="9"/>
    </i>
    <i>
      <x v="12"/>
    </i>
    <i>
      <x v="26"/>
    </i>
    <i>
      <x v="2"/>
    </i>
    <i>
      <x v="24"/>
    </i>
    <i>
      <x v="3"/>
    </i>
    <i>
      <x v="21"/>
    </i>
    <i>
      <x v="16"/>
    </i>
    <i>
      <x/>
    </i>
    <i>
      <x v="22"/>
    </i>
    <i>
      <x v="15"/>
    </i>
    <i>
      <x v="13"/>
    </i>
    <i>
      <x v="8"/>
    </i>
    <i>
      <x v="18"/>
    </i>
    <i>
      <x v="28"/>
    </i>
    <i>
      <x v="29"/>
    </i>
    <i>
      <x v="1"/>
    </i>
    <i>
      <x v="6"/>
    </i>
    <i>
      <x v="10"/>
    </i>
    <i>
      <x v="17"/>
    </i>
    <i>
      <x v="19"/>
    </i>
    <i>
      <x v="5"/>
    </i>
    <i t="grand">
      <x/>
    </i>
  </rowItems>
  <colItems count="1">
    <i/>
  </colItems>
  <dataFields count="1">
    <dataField name=" Cantidad" fld="7" baseField="0" baseItem="0"/>
  </dataFields>
  <formats count="4">
    <format dxfId="7">
      <pivotArea field="6" type="button" dataOnly="0" labelOnly="1" outline="0" axis="axisRow" fieldPosition="0"/>
    </format>
    <format dxfId="6">
      <pivotArea dataOnly="0" labelOnly="1" outline="0" axis="axisValues" fieldPosition="0"/>
    </format>
    <format dxfId="5">
      <pivotArea field="6" type="button" dataOnly="0" labelOnly="1" outline="0" axis="axisRow" fieldPosition="0"/>
    </format>
    <format dxfId="4">
      <pivotArea dataOnly="0" labelOnly="1" outline="0" axis="axisValues" fieldPosition="0"/>
    </format>
  </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F42A7B-720F-8D43-A7CB-F0DFD1EAFFC5}" name="TablaDinámica1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 rowHeaderCaption="Numero Mes">
  <location ref="A15:B28" firstHeaderRow="1" firstDataRow="1" firstDataCol="1"/>
  <pivotFields count="10">
    <pivotField numFmtId="14" showAll="0"/>
    <pivotField showAll="0"/>
    <pivotField axis="axisRow" showAll="0" sortType="a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numFmtId="44" showAll="0"/>
    <pivotField dataField="1" numFmtId="44"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 Total" fld="9" baseField="0" baseItem="0" numFmtId="44"/>
  </dataFields>
  <formats count="4">
    <format dxfId="11">
      <pivotArea field="2" type="button" dataOnly="0" labelOnly="1" outline="0" axis="axisRow" fieldPosition="0"/>
    </format>
    <format dxfId="10">
      <pivotArea dataOnly="0" labelOnly="1" outline="0" axis="axisValues" fieldPosition="0"/>
    </format>
    <format dxfId="9">
      <pivotArea field="2" type="button" dataOnly="0" labelOnly="1" outline="0" axis="axisRow" fieldPosition="0"/>
    </format>
    <format dxfId="8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C065A3-DC3F-D744-853E-B3F58127FA8D}" name="TablaDinámica10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 Año">
  <location ref="A6:B9" firstHeaderRow="1" firstDataRow="1" firstDataCol="1"/>
  <pivotFields count="10">
    <pivotField numFmtId="14" showAll="0"/>
    <pivotField axis="axisRow" showAll="0" sortType="descending">
      <items count="3"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numFmtId="44" showAll="0"/>
    <pivotField dataField="1" numFmtId="44"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Ventas Totales" fld="9" baseField="0" baseItem="0" numFmtId="44"/>
  </dataField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CC8D25-B50C-A64B-8329-7B398715339D}" name="TablaDinámica17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R6:Y13" firstHeaderRow="1" firstDataRow="2" firstDataCol="1"/>
  <pivotFields count="10">
    <pivotField numFmtId="14" showAll="0"/>
    <pivotField showAll="0"/>
    <pivotField showAll="0"/>
    <pivotField axis="axisRow" showAll="0">
      <items count="6">
        <item x="4"/>
        <item x="0"/>
        <item x="2"/>
        <item x="3"/>
        <item x="1"/>
        <item t="default"/>
      </items>
    </pivotField>
    <pivotField axis="axisCol" showAll="0">
      <items count="7">
        <item x="2"/>
        <item x="0"/>
        <item x="1"/>
        <item x="3"/>
        <item x="4"/>
        <item x="5"/>
        <item t="default"/>
      </items>
    </pivotField>
    <pivotField showAll="0"/>
    <pivotField showAll="0"/>
    <pivotField dataField="1" showAll="0"/>
    <pivotField numFmtId="44" showAll="0"/>
    <pivotField numFmtId="44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4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a de Cantidad" fld="7" baseField="0" baseItem="0"/>
  </dataFields>
  <chartFormats count="12">
    <chartFormat chart="0" format="6" series="1">
      <pivotArea type="data" outline="0" fieldPosition="0">
        <references count="1">
          <reference field="4" count="1" selected="0">
            <x v="0"/>
          </reference>
        </references>
      </pivotArea>
    </chartFormat>
    <chartFormat chart="0" format="7" series="1">
      <pivotArea type="data" outline="0" fieldPosition="0">
        <references count="1">
          <reference field="4" count="1" selected="0">
            <x v="1"/>
          </reference>
        </references>
      </pivotArea>
    </chartFormat>
    <chartFormat chart="0" format="8" series="1">
      <pivotArea type="data" outline="0" fieldPosition="0">
        <references count="1">
          <reference field="4" count="1" selected="0">
            <x v="2"/>
          </reference>
        </references>
      </pivotArea>
    </chartFormat>
    <chartFormat chart="0" format="9" series="1">
      <pivotArea type="data" outline="0" fieldPosition="0">
        <references count="1">
          <reference field="4" count="1" selected="0">
            <x v="3"/>
          </reference>
        </references>
      </pivotArea>
    </chartFormat>
    <chartFormat chart="0" format="10" series="1">
      <pivotArea type="data" outline="0" fieldPosition="0">
        <references count="1">
          <reference field="4" count="1" selected="0">
            <x v="4"/>
          </reference>
        </references>
      </pivotArea>
    </chartFormat>
    <chartFormat chart="0" format="11" series="1">
      <pivotArea type="data" outline="0" fieldPosition="0">
        <references count="1">
          <reference field="4" count="1" selected="0">
            <x v="5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C5FB00-FCCD-814F-BBE7-692CBEF0838F}" name="TablaDinámica1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 Productos ">
  <location ref="J17:K26" firstHeaderRow="1" firstDataRow="1" firstDataCol="1"/>
  <pivotFields count="10">
    <pivotField numFmtId="14" showAll="0"/>
    <pivotField showAll="0"/>
    <pivotField showAll="0"/>
    <pivotField showAll="0"/>
    <pivotField showAll="0"/>
    <pivotField axis="axisRow" showAll="0" sortType="descending">
      <items count="9">
        <item x="2"/>
        <item x="7"/>
        <item n="o" x="3"/>
        <item x="0"/>
        <item x="4"/>
        <item x="1"/>
        <item x="6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44" showAll="0"/>
    <pivotField dataField="1" numFmtId="44" showAll="0"/>
  </pivotFields>
  <rowFields count="1">
    <field x="5"/>
  </rowFields>
  <rowItems count="9">
    <i>
      <x v="2"/>
    </i>
    <i>
      <x v="6"/>
    </i>
    <i>
      <x v="5"/>
    </i>
    <i>
      <x v="3"/>
    </i>
    <i>
      <x/>
    </i>
    <i>
      <x v="1"/>
    </i>
    <i>
      <x v="4"/>
    </i>
    <i>
      <x v="7"/>
    </i>
    <i t="grand">
      <x/>
    </i>
  </rowItems>
  <colItems count="1">
    <i/>
  </colItems>
  <dataFields count="1">
    <dataField name=" Total" fld="9" baseField="0" baseItem="0" numFmtId="44"/>
  </dataFields>
  <formats count="4">
    <format dxfId="15">
      <pivotArea field="5" type="button" dataOnly="0" labelOnly="1" outline="0" axis="axisRow" fieldPosition="0"/>
    </format>
    <format dxfId="14">
      <pivotArea dataOnly="0" labelOnly="1" outline="0" axis="axisValues" fieldPosition="0"/>
    </format>
    <format dxfId="13">
      <pivotArea field="5" type="button" dataOnly="0" labelOnly="1" outline="0" axis="axisRow" fieldPosition="0"/>
    </format>
    <format dxfId="12">
      <pivotArea dataOnly="0" labelOnly="1" outline="0" axis="axisValues" fieldPosition="0"/>
    </format>
  </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C166FF-3C40-E64D-AF52-14A53CB8E606}" name="TablaDinámica18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 rowHeaderCaption=" Mes">
  <location ref="A59:G67" firstHeaderRow="1" firstDataRow="3" firstDataCol="1"/>
  <pivotFields count="10">
    <pivotField numFmtId="14" showAll="0">
      <items count="5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axis="axisCol" showAll="0">
      <items count="3">
        <item x="0"/>
        <item x="1"/>
        <item t="default"/>
      </items>
    </pivotField>
    <pivotField axis="axisRow" showAll="0">
      <items count="13">
        <item x="0"/>
        <item x="1"/>
        <item x="2"/>
        <item x="3"/>
        <item x="4"/>
        <item h="1" x="5"/>
        <item h="1" x="6"/>
        <item h="1" x="7"/>
        <item h="1" x="8"/>
        <item h="1" x="9"/>
        <item h="1" x="10"/>
        <item h="1" x="11"/>
        <item t="default"/>
      </items>
    </pivotField>
    <pivotField showAll="0"/>
    <pivotField showAll="0"/>
    <pivotField showAll="0"/>
    <pivotField showAll="0"/>
    <pivotField showAll="0"/>
    <pivotField numFmtId="44" showAll="0"/>
    <pivotField dataField="1" numFmtId="44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1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Suma de Total" fld="9" baseField="0" baseItem="0" numFmtId="44"/>
    <dataField name=" % Crecimiento" fld="9" showDataAs="percentDiff" baseField="1" baseItem="1048828" numFmtId="10"/>
  </dataFields>
  <chartFormats count="8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F135C7-3861-5A4B-905C-BD3A36975806}" name="Tabla1" displayName="Tabla1" ref="A1:J501" totalsRowShown="0" headerRowDxfId="30" dataDxfId="28" headerRowBorderDxfId="29" tableBorderDxfId="27" totalsRowBorderDxfId="26">
  <autoFilter ref="A1:J501" xr:uid="{F8F135C7-3861-5A4B-905C-BD3A36975806}"/>
  <tableColumns count="10">
    <tableColumn id="1" xr3:uid="{46ED5943-84C6-0B48-8386-5E0A4966F153}" name="Fecha" dataDxfId="25"/>
    <tableColumn id="2" xr3:uid="{52C9DD1E-F74A-9148-B6C7-54E9E8C08360}" name="Año" dataDxfId="24">
      <calculatedColumnFormula>YEAR(A2)</calculatedColumnFormula>
    </tableColumn>
    <tableColumn id="3" xr3:uid="{8BC8ECDE-E9B2-854D-9C12-4408EEF4952D}" name="Mes" dataDxfId="23">
      <calculatedColumnFormula>MONTH(A2)</calculatedColumnFormula>
    </tableColumn>
    <tableColumn id="4" xr3:uid="{6DC86819-0883-4448-8A94-F60290B45CEA}" name="Tienda" dataDxfId="22"/>
    <tableColumn id="5" xr3:uid="{F1A908AA-3E94-1146-B5F7-8DF3056C1B5C}" name="Categoria de Producto" dataDxfId="21"/>
    <tableColumn id="6" xr3:uid="{3FB9EE52-8E85-3248-8476-115D71B69376}" name="Vendedor" dataDxfId="20"/>
    <tableColumn id="7" xr3:uid="{F703D3C0-DC77-174B-8707-D72DBE90C4AB}" name="Producto" dataDxfId="19"/>
    <tableColumn id="8" xr3:uid="{AF6AC47D-4ECA-D94A-9760-C3E5B9E1904C}" name="Cantidad" dataDxfId="18"/>
    <tableColumn id="9" xr3:uid="{FE6E0D86-2FB2-F746-B537-E1D2351908C6}" name="Precio" dataDxfId="17" dataCellStyle="Moneda"/>
    <tableColumn id="10" xr3:uid="{3818A5FE-5A2D-EB4B-8B8A-77ABB4401C81}" name="Total" dataDxfId="16" dataCellStyle="Mone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5D3FB-6B09-E547-B71C-92FD4BB22366}">
  <dimension ref="A1:R502"/>
  <sheetViews>
    <sheetView tabSelected="1" zoomScale="138" workbookViewId="0">
      <selection activeCell="G2" sqref="G2"/>
    </sheetView>
  </sheetViews>
  <sheetFormatPr baseColWidth="10" defaultRowHeight="16" x14ac:dyDescent="0.2"/>
  <cols>
    <col min="3" max="3" width="10.83203125" customWidth="1"/>
    <col min="4" max="4" width="16.5" customWidth="1"/>
    <col min="5" max="5" width="28.1640625" customWidth="1"/>
    <col min="6" max="6" width="16" customWidth="1"/>
    <col min="7" max="7" width="25.6640625" bestFit="1" customWidth="1"/>
    <col min="8" max="8" width="13.5" customWidth="1"/>
    <col min="9" max="9" width="17.83203125" customWidth="1"/>
    <col min="10" max="10" width="17.1640625" customWidth="1"/>
    <col min="13" max="13" width="12.83203125" customWidth="1"/>
    <col min="16" max="16" width="12" bestFit="1" customWidth="1"/>
  </cols>
  <sheetData>
    <row r="1" spans="1:18" ht="20" x14ac:dyDescent="0.2">
      <c r="A1" s="13" t="s">
        <v>49</v>
      </c>
      <c r="B1" s="14" t="s">
        <v>58</v>
      </c>
      <c r="C1" s="14" t="s">
        <v>57</v>
      </c>
      <c r="D1" s="14" t="s">
        <v>50</v>
      </c>
      <c r="E1" s="14" t="s">
        <v>51</v>
      </c>
      <c r="F1" s="14" t="s">
        <v>52</v>
      </c>
      <c r="G1" s="14" t="s">
        <v>53</v>
      </c>
      <c r="H1" s="14" t="s">
        <v>54</v>
      </c>
      <c r="I1" s="32" t="s">
        <v>55</v>
      </c>
      <c r="J1" s="35" t="s">
        <v>56</v>
      </c>
    </row>
    <row r="2" spans="1:18" x14ac:dyDescent="0.2">
      <c r="A2" s="12">
        <v>45659</v>
      </c>
      <c r="B2" s="4">
        <f>YEAR(A2)</f>
        <v>2025</v>
      </c>
      <c r="C2" s="4">
        <f>MONTH(A2)</f>
        <v>1</v>
      </c>
      <c r="D2" s="5" t="s">
        <v>0</v>
      </c>
      <c r="E2" s="6" t="s">
        <v>1</v>
      </c>
      <c r="F2" s="6" t="s">
        <v>2</v>
      </c>
      <c r="G2" s="6" t="s">
        <v>3</v>
      </c>
      <c r="H2" s="6">
        <v>6</v>
      </c>
      <c r="I2" s="33">
        <v>625.01</v>
      </c>
      <c r="J2" s="36">
        <v>3750.06</v>
      </c>
    </row>
    <row r="3" spans="1:18" x14ac:dyDescent="0.2">
      <c r="A3" s="12">
        <v>45659</v>
      </c>
      <c r="B3" s="4">
        <f t="shared" ref="B3:B66" si="0">YEAR(A3)</f>
        <v>2025</v>
      </c>
      <c r="C3" s="4">
        <f t="shared" ref="C3:C66" si="1">MONTH(A3)</f>
        <v>1</v>
      </c>
      <c r="D3" s="5" t="s">
        <v>4</v>
      </c>
      <c r="E3" s="6" t="s">
        <v>5</v>
      </c>
      <c r="F3" s="6" t="s">
        <v>6</v>
      </c>
      <c r="G3" s="6" t="s">
        <v>7</v>
      </c>
      <c r="H3" s="6">
        <v>1</v>
      </c>
      <c r="I3" s="33">
        <v>84.42</v>
      </c>
      <c r="J3" s="36">
        <v>84.42</v>
      </c>
      <c r="M3" s="39"/>
      <c r="R3" s="38"/>
    </row>
    <row r="4" spans="1:18" x14ac:dyDescent="0.2">
      <c r="A4" s="12">
        <v>45660</v>
      </c>
      <c r="B4" s="4">
        <f t="shared" si="0"/>
        <v>2025</v>
      </c>
      <c r="C4" s="4">
        <f t="shared" si="1"/>
        <v>1</v>
      </c>
      <c r="D4" s="5" t="s">
        <v>8</v>
      </c>
      <c r="E4" s="6" t="s">
        <v>9</v>
      </c>
      <c r="F4" s="6" t="s">
        <v>6</v>
      </c>
      <c r="G4" s="6" t="s">
        <v>10</v>
      </c>
      <c r="H4" s="6">
        <v>5</v>
      </c>
      <c r="I4" s="33">
        <v>560.97</v>
      </c>
      <c r="J4" s="36">
        <v>2804.85</v>
      </c>
      <c r="M4" s="39"/>
      <c r="R4" s="38"/>
    </row>
    <row r="5" spans="1:18" x14ac:dyDescent="0.2">
      <c r="A5" s="12">
        <v>45661</v>
      </c>
      <c r="B5" s="4">
        <f t="shared" si="0"/>
        <v>2025</v>
      </c>
      <c r="C5" s="4">
        <f t="shared" si="1"/>
        <v>1</v>
      </c>
      <c r="D5" s="5" t="s">
        <v>11</v>
      </c>
      <c r="E5" s="6" t="s">
        <v>12</v>
      </c>
      <c r="F5" s="6" t="s">
        <v>13</v>
      </c>
      <c r="G5" s="6" t="s">
        <v>14</v>
      </c>
      <c r="H5" s="6">
        <v>10</v>
      </c>
      <c r="I5" s="33">
        <v>1197.81</v>
      </c>
      <c r="J5" s="36">
        <v>11978.1</v>
      </c>
      <c r="M5" s="39"/>
      <c r="R5" s="38"/>
    </row>
    <row r="6" spans="1:18" x14ac:dyDescent="0.2">
      <c r="A6" s="12">
        <v>45662</v>
      </c>
      <c r="B6" s="4">
        <f t="shared" si="0"/>
        <v>2025</v>
      </c>
      <c r="C6" s="4">
        <f t="shared" si="1"/>
        <v>1</v>
      </c>
      <c r="D6" s="5" t="s">
        <v>4</v>
      </c>
      <c r="E6" s="6" t="s">
        <v>5</v>
      </c>
      <c r="F6" s="6" t="s">
        <v>6</v>
      </c>
      <c r="G6" s="6" t="s">
        <v>15</v>
      </c>
      <c r="H6" s="6">
        <v>2</v>
      </c>
      <c r="I6" s="33">
        <v>349.98</v>
      </c>
      <c r="J6" s="36">
        <v>699.96</v>
      </c>
      <c r="M6" s="39"/>
      <c r="R6" s="38"/>
    </row>
    <row r="7" spans="1:18" x14ac:dyDescent="0.2">
      <c r="A7" s="12">
        <v>45663</v>
      </c>
      <c r="B7" s="4">
        <f t="shared" si="0"/>
        <v>2025</v>
      </c>
      <c r="C7" s="4">
        <f t="shared" si="1"/>
        <v>1</v>
      </c>
      <c r="D7" s="5" t="s">
        <v>11</v>
      </c>
      <c r="E7" s="6" t="s">
        <v>9</v>
      </c>
      <c r="F7" s="6" t="s">
        <v>16</v>
      </c>
      <c r="G7" s="6" t="s">
        <v>17</v>
      </c>
      <c r="H7" s="6">
        <v>7</v>
      </c>
      <c r="I7" s="33">
        <v>353.77</v>
      </c>
      <c r="J7" s="36">
        <v>2476.39</v>
      </c>
      <c r="M7" s="39"/>
      <c r="R7" s="38"/>
    </row>
    <row r="8" spans="1:18" x14ac:dyDescent="0.2">
      <c r="A8" s="12">
        <v>45664</v>
      </c>
      <c r="B8" s="4">
        <f t="shared" si="0"/>
        <v>2025</v>
      </c>
      <c r="C8" s="4">
        <f t="shared" si="1"/>
        <v>1</v>
      </c>
      <c r="D8" s="5" t="s">
        <v>4</v>
      </c>
      <c r="E8" s="6" t="s">
        <v>9</v>
      </c>
      <c r="F8" s="6" t="s">
        <v>16</v>
      </c>
      <c r="G8" s="6" t="s">
        <v>18</v>
      </c>
      <c r="H8" s="6">
        <v>3</v>
      </c>
      <c r="I8" s="33">
        <v>821.79</v>
      </c>
      <c r="J8" s="36">
        <v>2465.37</v>
      </c>
      <c r="M8" s="39"/>
      <c r="R8" s="38"/>
    </row>
    <row r="9" spans="1:18" x14ac:dyDescent="0.2">
      <c r="A9" s="12">
        <v>45665</v>
      </c>
      <c r="B9" s="4">
        <f t="shared" si="0"/>
        <v>2025</v>
      </c>
      <c r="C9" s="4">
        <f t="shared" si="1"/>
        <v>1</v>
      </c>
      <c r="D9" s="5" t="s">
        <v>19</v>
      </c>
      <c r="E9" s="6" t="s">
        <v>12</v>
      </c>
      <c r="F9" s="6" t="s">
        <v>16</v>
      </c>
      <c r="G9" s="6" t="s">
        <v>20</v>
      </c>
      <c r="H9" s="6">
        <v>9</v>
      </c>
      <c r="I9" s="33">
        <v>575.49</v>
      </c>
      <c r="J9" s="36">
        <v>5179.41</v>
      </c>
      <c r="M9" s="39"/>
      <c r="R9" s="38"/>
    </row>
    <row r="10" spans="1:18" x14ac:dyDescent="0.2">
      <c r="A10" s="12">
        <v>45666</v>
      </c>
      <c r="B10" s="4">
        <f t="shared" si="0"/>
        <v>2025</v>
      </c>
      <c r="C10" s="4">
        <f t="shared" si="1"/>
        <v>1</v>
      </c>
      <c r="D10" s="5" t="s">
        <v>4</v>
      </c>
      <c r="E10" s="6" t="s">
        <v>21</v>
      </c>
      <c r="F10" s="6" t="s">
        <v>13</v>
      </c>
      <c r="G10" s="6" t="s">
        <v>22</v>
      </c>
      <c r="H10" s="6">
        <v>3</v>
      </c>
      <c r="I10" s="33">
        <v>1180.1500000000001</v>
      </c>
      <c r="J10" s="36">
        <v>3540.45</v>
      </c>
      <c r="M10" s="39"/>
      <c r="R10" s="38"/>
    </row>
    <row r="11" spans="1:18" x14ac:dyDescent="0.2">
      <c r="A11" s="12">
        <v>45667</v>
      </c>
      <c r="B11" s="4">
        <f t="shared" si="0"/>
        <v>2025</v>
      </c>
      <c r="C11" s="4">
        <f t="shared" si="1"/>
        <v>1</v>
      </c>
      <c r="D11" s="5" t="s">
        <v>0</v>
      </c>
      <c r="E11" s="6" t="s">
        <v>1</v>
      </c>
      <c r="F11" s="6" t="s">
        <v>23</v>
      </c>
      <c r="G11" s="6" t="s">
        <v>24</v>
      </c>
      <c r="H11" s="6">
        <v>8</v>
      </c>
      <c r="I11" s="33">
        <v>948.14</v>
      </c>
      <c r="J11" s="36">
        <v>7585.12</v>
      </c>
      <c r="M11" s="39"/>
      <c r="R11" s="38"/>
    </row>
    <row r="12" spans="1:18" x14ac:dyDescent="0.2">
      <c r="A12" s="12">
        <v>45668</v>
      </c>
      <c r="B12" s="4">
        <f t="shared" si="0"/>
        <v>2025</v>
      </c>
      <c r="C12" s="4">
        <f t="shared" si="1"/>
        <v>1</v>
      </c>
      <c r="D12" s="5" t="s">
        <v>4</v>
      </c>
      <c r="E12" s="6" t="s">
        <v>5</v>
      </c>
      <c r="F12" s="6" t="s">
        <v>2</v>
      </c>
      <c r="G12" s="6" t="s">
        <v>7</v>
      </c>
      <c r="H12" s="6">
        <v>7</v>
      </c>
      <c r="I12" s="33">
        <v>1439.39</v>
      </c>
      <c r="J12" s="36">
        <v>10075.73</v>
      </c>
      <c r="M12" s="39"/>
      <c r="R12" s="38"/>
    </row>
    <row r="13" spans="1:18" x14ac:dyDescent="0.2">
      <c r="A13" s="12">
        <v>45669</v>
      </c>
      <c r="B13" s="4">
        <f t="shared" si="0"/>
        <v>2025</v>
      </c>
      <c r="C13" s="4">
        <f t="shared" si="1"/>
        <v>1</v>
      </c>
      <c r="D13" s="5" t="s">
        <v>4</v>
      </c>
      <c r="E13" s="6" t="s">
        <v>1</v>
      </c>
      <c r="F13" s="6" t="s">
        <v>23</v>
      </c>
      <c r="G13" s="6" t="s">
        <v>25</v>
      </c>
      <c r="H13" s="6">
        <v>6</v>
      </c>
      <c r="I13" s="33">
        <v>242.24</v>
      </c>
      <c r="J13" s="36">
        <v>1453.44</v>
      </c>
      <c r="M13" s="39"/>
      <c r="R13" s="38"/>
    </row>
    <row r="14" spans="1:18" x14ac:dyDescent="0.2">
      <c r="A14" s="12">
        <v>45670</v>
      </c>
      <c r="B14" s="4">
        <f t="shared" si="0"/>
        <v>2025</v>
      </c>
      <c r="C14" s="4">
        <f t="shared" si="1"/>
        <v>1</v>
      </c>
      <c r="D14" s="5" t="s">
        <v>4</v>
      </c>
      <c r="E14" s="6" t="s">
        <v>26</v>
      </c>
      <c r="F14" s="6" t="s">
        <v>23</v>
      </c>
      <c r="G14" s="6" t="s">
        <v>27</v>
      </c>
      <c r="H14" s="6">
        <v>2</v>
      </c>
      <c r="I14" s="33">
        <v>1046.6199999999999</v>
      </c>
      <c r="J14" s="36">
        <v>2093.2399999999998</v>
      </c>
      <c r="M14" s="39"/>
      <c r="R14" s="38"/>
    </row>
    <row r="15" spans="1:18" x14ac:dyDescent="0.2">
      <c r="A15" s="12">
        <v>45671</v>
      </c>
      <c r="B15" s="4">
        <f t="shared" si="0"/>
        <v>2025</v>
      </c>
      <c r="C15" s="4">
        <f t="shared" si="1"/>
        <v>1</v>
      </c>
      <c r="D15" s="5" t="s">
        <v>0</v>
      </c>
      <c r="E15" s="6" t="s">
        <v>21</v>
      </c>
      <c r="F15" s="6" t="s">
        <v>23</v>
      </c>
      <c r="G15" s="6" t="s">
        <v>28</v>
      </c>
      <c r="H15" s="6">
        <v>7</v>
      </c>
      <c r="I15" s="33">
        <v>35.19</v>
      </c>
      <c r="J15" s="36">
        <v>246.33</v>
      </c>
      <c r="M15" s="39"/>
      <c r="R15" s="38"/>
    </row>
    <row r="16" spans="1:18" x14ac:dyDescent="0.2">
      <c r="A16" s="12">
        <v>45672</v>
      </c>
      <c r="B16" s="4">
        <f t="shared" si="0"/>
        <v>2025</v>
      </c>
      <c r="C16" s="4">
        <f t="shared" si="1"/>
        <v>1</v>
      </c>
      <c r="D16" s="5" t="s">
        <v>0</v>
      </c>
      <c r="E16" s="6" t="s">
        <v>5</v>
      </c>
      <c r="F16" s="6" t="s">
        <v>2</v>
      </c>
      <c r="G16" s="6" t="s">
        <v>29</v>
      </c>
      <c r="H16" s="6">
        <v>1</v>
      </c>
      <c r="I16" s="33">
        <v>828.19</v>
      </c>
      <c r="J16" s="36">
        <v>828.19</v>
      </c>
      <c r="M16" s="39"/>
      <c r="R16" s="38"/>
    </row>
    <row r="17" spans="1:18" x14ac:dyDescent="0.2">
      <c r="A17" s="12">
        <v>45673</v>
      </c>
      <c r="B17" s="4">
        <f t="shared" si="0"/>
        <v>2025</v>
      </c>
      <c r="C17" s="4">
        <f t="shared" si="1"/>
        <v>1</v>
      </c>
      <c r="D17" s="5" t="s">
        <v>11</v>
      </c>
      <c r="E17" s="6" t="s">
        <v>26</v>
      </c>
      <c r="F17" s="6" t="s">
        <v>23</v>
      </c>
      <c r="G17" s="6" t="s">
        <v>30</v>
      </c>
      <c r="H17" s="6">
        <v>8</v>
      </c>
      <c r="I17" s="33">
        <v>562.22</v>
      </c>
      <c r="J17" s="36">
        <v>4497.76</v>
      </c>
      <c r="M17" s="39"/>
      <c r="R17" s="38"/>
    </row>
    <row r="18" spans="1:18" x14ac:dyDescent="0.2">
      <c r="A18" s="12">
        <v>45674</v>
      </c>
      <c r="B18" s="4">
        <f t="shared" si="0"/>
        <v>2025</v>
      </c>
      <c r="C18" s="4">
        <f t="shared" si="1"/>
        <v>1</v>
      </c>
      <c r="D18" s="5" t="s">
        <v>8</v>
      </c>
      <c r="E18" s="6" t="s">
        <v>12</v>
      </c>
      <c r="F18" s="6" t="s">
        <v>6</v>
      </c>
      <c r="G18" s="6" t="s">
        <v>31</v>
      </c>
      <c r="H18" s="6">
        <v>6</v>
      </c>
      <c r="I18" s="33">
        <v>971.14</v>
      </c>
      <c r="J18" s="36">
        <v>5826.84</v>
      </c>
      <c r="M18" s="39"/>
      <c r="R18" s="38"/>
    </row>
    <row r="19" spans="1:18" x14ac:dyDescent="0.2">
      <c r="A19" s="12">
        <v>45675</v>
      </c>
      <c r="B19" s="4">
        <f t="shared" si="0"/>
        <v>2025</v>
      </c>
      <c r="C19" s="4">
        <f t="shared" si="1"/>
        <v>1</v>
      </c>
      <c r="D19" s="5" t="s">
        <v>19</v>
      </c>
      <c r="E19" s="6" t="s">
        <v>5</v>
      </c>
      <c r="F19" s="6" t="s">
        <v>23</v>
      </c>
      <c r="G19" s="6" t="s">
        <v>29</v>
      </c>
      <c r="H19" s="6">
        <v>7</v>
      </c>
      <c r="I19" s="33">
        <v>921.18</v>
      </c>
      <c r="J19" s="36">
        <v>6448.26</v>
      </c>
      <c r="M19" s="39"/>
      <c r="R19" s="38"/>
    </row>
    <row r="20" spans="1:18" x14ac:dyDescent="0.2">
      <c r="A20" s="12">
        <v>45676</v>
      </c>
      <c r="B20" s="4">
        <f t="shared" si="0"/>
        <v>2025</v>
      </c>
      <c r="C20" s="4">
        <f t="shared" si="1"/>
        <v>1</v>
      </c>
      <c r="D20" s="5" t="s">
        <v>11</v>
      </c>
      <c r="E20" s="6" t="s">
        <v>21</v>
      </c>
      <c r="F20" s="6" t="s">
        <v>6</v>
      </c>
      <c r="G20" s="6" t="s">
        <v>22</v>
      </c>
      <c r="H20" s="6">
        <v>3</v>
      </c>
      <c r="I20" s="33">
        <v>468.57</v>
      </c>
      <c r="J20" s="36">
        <v>1405.71</v>
      </c>
      <c r="M20" s="39"/>
      <c r="R20" s="38"/>
    </row>
    <row r="21" spans="1:18" x14ac:dyDescent="0.2">
      <c r="A21" s="12">
        <v>45677</v>
      </c>
      <c r="B21" s="4">
        <f t="shared" si="0"/>
        <v>2025</v>
      </c>
      <c r="C21" s="4">
        <f t="shared" si="1"/>
        <v>1</v>
      </c>
      <c r="D21" s="5" t="s">
        <v>11</v>
      </c>
      <c r="E21" s="6" t="s">
        <v>5</v>
      </c>
      <c r="F21" s="6" t="s">
        <v>23</v>
      </c>
      <c r="G21" s="6" t="s">
        <v>32</v>
      </c>
      <c r="H21" s="6">
        <v>10</v>
      </c>
      <c r="I21" s="33">
        <v>1132.23</v>
      </c>
      <c r="J21" s="36">
        <v>11322.3</v>
      </c>
      <c r="M21" s="39"/>
      <c r="R21" s="38"/>
    </row>
    <row r="22" spans="1:18" x14ac:dyDescent="0.2">
      <c r="A22" s="12">
        <v>45678</v>
      </c>
      <c r="B22" s="4">
        <f t="shared" si="0"/>
        <v>2025</v>
      </c>
      <c r="C22" s="4">
        <f t="shared" si="1"/>
        <v>1</v>
      </c>
      <c r="D22" s="5" t="s">
        <v>8</v>
      </c>
      <c r="E22" s="6" t="s">
        <v>1</v>
      </c>
      <c r="F22" s="6" t="s">
        <v>33</v>
      </c>
      <c r="G22" s="6" t="s">
        <v>25</v>
      </c>
      <c r="H22" s="6">
        <v>10</v>
      </c>
      <c r="I22" s="33">
        <v>124.49</v>
      </c>
      <c r="J22" s="36">
        <v>1244.9000000000001</v>
      </c>
      <c r="M22" s="39"/>
      <c r="R22" s="38"/>
    </row>
    <row r="23" spans="1:18" x14ac:dyDescent="0.2">
      <c r="A23" s="12">
        <v>45679</v>
      </c>
      <c r="B23" s="4">
        <f t="shared" si="0"/>
        <v>2025</v>
      </c>
      <c r="C23" s="4">
        <f t="shared" si="1"/>
        <v>1</v>
      </c>
      <c r="D23" s="5" t="s">
        <v>11</v>
      </c>
      <c r="E23" s="6" t="s">
        <v>9</v>
      </c>
      <c r="F23" s="6" t="s">
        <v>2</v>
      </c>
      <c r="G23" s="6" t="s">
        <v>17</v>
      </c>
      <c r="H23" s="6">
        <v>3</v>
      </c>
      <c r="I23" s="33">
        <v>791.73</v>
      </c>
      <c r="J23" s="36">
        <v>2375.19</v>
      </c>
      <c r="M23" s="39"/>
      <c r="R23" s="38"/>
    </row>
    <row r="24" spans="1:18" x14ac:dyDescent="0.2">
      <c r="A24" s="12">
        <v>45680</v>
      </c>
      <c r="B24" s="4">
        <f t="shared" si="0"/>
        <v>2025</v>
      </c>
      <c r="C24" s="4">
        <f t="shared" si="1"/>
        <v>1</v>
      </c>
      <c r="D24" s="5" t="s">
        <v>4</v>
      </c>
      <c r="E24" s="6" t="s">
        <v>1</v>
      </c>
      <c r="F24" s="6" t="s">
        <v>2</v>
      </c>
      <c r="G24" s="6" t="s">
        <v>34</v>
      </c>
      <c r="H24" s="6">
        <v>7</v>
      </c>
      <c r="I24" s="33">
        <v>1334.38</v>
      </c>
      <c r="J24" s="36">
        <v>9340.66</v>
      </c>
      <c r="M24" s="39"/>
      <c r="R24" s="38"/>
    </row>
    <row r="25" spans="1:18" x14ac:dyDescent="0.2">
      <c r="A25" s="12">
        <v>45681</v>
      </c>
      <c r="B25" s="4">
        <f t="shared" si="0"/>
        <v>2025</v>
      </c>
      <c r="C25" s="4">
        <f t="shared" si="1"/>
        <v>1</v>
      </c>
      <c r="D25" s="5" t="s">
        <v>8</v>
      </c>
      <c r="E25" s="6" t="s">
        <v>9</v>
      </c>
      <c r="F25" s="6" t="s">
        <v>13</v>
      </c>
      <c r="G25" s="6" t="s">
        <v>10</v>
      </c>
      <c r="H25" s="6">
        <v>2</v>
      </c>
      <c r="I25" s="33">
        <v>738.55</v>
      </c>
      <c r="J25" s="36">
        <v>1477.1</v>
      </c>
      <c r="M25" s="39"/>
      <c r="R25" s="38"/>
    </row>
    <row r="26" spans="1:18" x14ac:dyDescent="0.2">
      <c r="A26" s="12">
        <v>45682</v>
      </c>
      <c r="B26" s="4">
        <f t="shared" si="0"/>
        <v>2025</v>
      </c>
      <c r="C26" s="4">
        <f t="shared" si="1"/>
        <v>1</v>
      </c>
      <c r="D26" s="5" t="s">
        <v>4</v>
      </c>
      <c r="E26" s="6" t="s">
        <v>26</v>
      </c>
      <c r="F26" s="6" t="s">
        <v>35</v>
      </c>
      <c r="G26" s="6" t="s">
        <v>36</v>
      </c>
      <c r="H26" s="6">
        <v>3</v>
      </c>
      <c r="I26" s="33">
        <v>51.06</v>
      </c>
      <c r="J26" s="36">
        <v>153.18</v>
      </c>
      <c r="M26" s="39"/>
      <c r="R26" s="38"/>
    </row>
    <row r="27" spans="1:18" x14ac:dyDescent="0.2">
      <c r="A27" s="12">
        <v>45683</v>
      </c>
      <c r="B27" s="4">
        <f t="shared" si="0"/>
        <v>2025</v>
      </c>
      <c r="C27" s="4">
        <f t="shared" si="1"/>
        <v>1</v>
      </c>
      <c r="D27" s="5" t="s">
        <v>11</v>
      </c>
      <c r="E27" s="6" t="s">
        <v>21</v>
      </c>
      <c r="F27" s="6" t="s">
        <v>13</v>
      </c>
      <c r="G27" s="6" t="s">
        <v>37</v>
      </c>
      <c r="H27" s="6">
        <v>9</v>
      </c>
      <c r="I27" s="33">
        <v>1055.75</v>
      </c>
      <c r="J27" s="36">
        <v>9501.75</v>
      </c>
      <c r="M27" s="39"/>
      <c r="R27" s="38"/>
    </row>
    <row r="28" spans="1:18" x14ac:dyDescent="0.2">
      <c r="A28" s="12">
        <v>45684</v>
      </c>
      <c r="B28" s="4">
        <f t="shared" si="0"/>
        <v>2025</v>
      </c>
      <c r="C28" s="4">
        <f t="shared" si="1"/>
        <v>1</v>
      </c>
      <c r="D28" s="5" t="s">
        <v>11</v>
      </c>
      <c r="E28" s="6" t="s">
        <v>9</v>
      </c>
      <c r="F28" s="6" t="s">
        <v>35</v>
      </c>
      <c r="G28" s="6" t="s">
        <v>18</v>
      </c>
      <c r="H28" s="6">
        <v>10</v>
      </c>
      <c r="I28" s="33">
        <v>137.61000000000001</v>
      </c>
      <c r="J28" s="36">
        <v>1376.1</v>
      </c>
      <c r="M28" s="39"/>
      <c r="R28" s="38"/>
    </row>
    <row r="29" spans="1:18" x14ac:dyDescent="0.2">
      <c r="A29" s="12">
        <v>45685</v>
      </c>
      <c r="B29" s="4">
        <f t="shared" si="0"/>
        <v>2025</v>
      </c>
      <c r="C29" s="4">
        <f t="shared" si="1"/>
        <v>1</v>
      </c>
      <c r="D29" s="5" t="s">
        <v>8</v>
      </c>
      <c r="E29" s="6" t="s">
        <v>9</v>
      </c>
      <c r="F29" s="6" t="s">
        <v>33</v>
      </c>
      <c r="G29" s="6" t="s">
        <v>18</v>
      </c>
      <c r="H29" s="6">
        <v>4</v>
      </c>
      <c r="I29" s="33">
        <v>610.54</v>
      </c>
      <c r="J29" s="36">
        <v>2442.16</v>
      </c>
      <c r="M29" s="39"/>
      <c r="R29" s="38"/>
    </row>
    <row r="30" spans="1:18" x14ac:dyDescent="0.2">
      <c r="A30" s="12">
        <v>45686</v>
      </c>
      <c r="B30" s="4">
        <f t="shared" si="0"/>
        <v>2025</v>
      </c>
      <c r="C30" s="4">
        <f t="shared" si="1"/>
        <v>1</v>
      </c>
      <c r="D30" s="5" t="s">
        <v>19</v>
      </c>
      <c r="E30" s="6" t="s">
        <v>26</v>
      </c>
      <c r="F30" s="6" t="s">
        <v>38</v>
      </c>
      <c r="G30" s="6" t="s">
        <v>39</v>
      </c>
      <c r="H30" s="6">
        <v>7</v>
      </c>
      <c r="I30" s="33">
        <v>624.38</v>
      </c>
      <c r="J30" s="36">
        <v>4370.66</v>
      </c>
      <c r="M30" s="39"/>
      <c r="R30" s="38"/>
    </row>
    <row r="31" spans="1:18" x14ac:dyDescent="0.2">
      <c r="A31" s="12">
        <v>45687</v>
      </c>
      <c r="B31" s="4">
        <f t="shared" si="0"/>
        <v>2025</v>
      </c>
      <c r="C31" s="4">
        <f t="shared" si="1"/>
        <v>1</v>
      </c>
      <c r="D31" s="5" t="s">
        <v>8</v>
      </c>
      <c r="E31" s="6" t="s">
        <v>9</v>
      </c>
      <c r="F31" s="6" t="s">
        <v>13</v>
      </c>
      <c r="G31" s="6" t="s">
        <v>40</v>
      </c>
      <c r="H31" s="6">
        <v>5</v>
      </c>
      <c r="I31" s="33">
        <v>529.52</v>
      </c>
      <c r="J31" s="36">
        <v>2647.6</v>
      </c>
      <c r="M31" s="39"/>
      <c r="R31" s="38"/>
    </row>
    <row r="32" spans="1:18" x14ac:dyDescent="0.2">
      <c r="A32" s="12">
        <v>45688</v>
      </c>
      <c r="B32" s="4">
        <f t="shared" si="0"/>
        <v>2025</v>
      </c>
      <c r="C32" s="4">
        <f t="shared" si="1"/>
        <v>1</v>
      </c>
      <c r="D32" s="5" t="s">
        <v>4</v>
      </c>
      <c r="E32" s="6" t="s">
        <v>5</v>
      </c>
      <c r="F32" s="6" t="s">
        <v>38</v>
      </c>
      <c r="G32" s="6" t="s">
        <v>15</v>
      </c>
      <c r="H32" s="6">
        <v>9</v>
      </c>
      <c r="I32" s="33">
        <v>1452.03</v>
      </c>
      <c r="J32" s="36">
        <v>13068.27</v>
      </c>
      <c r="M32" s="39"/>
      <c r="R32" s="38"/>
    </row>
    <row r="33" spans="1:18" x14ac:dyDescent="0.2">
      <c r="A33" s="12">
        <v>45689</v>
      </c>
      <c r="B33" s="4">
        <f>YEAR(A33)</f>
        <v>2025</v>
      </c>
      <c r="C33" s="4">
        <f>MONTH(A33)</f>
        <v>2</v>
      </c>
      <c r="D33" s="5" t="s">
        <v>11</v>
      </c>
      <c r="E33" s="6" t="s">
        <v>1</v>
      </c>
      <c r="F33" s="6" t="s">
        <v>16</v>
      </c>
      <c r="G33" s="6" t="s">
        <v>34</v>
      </c>
      <c r="H33" s="6">
        <v>3</v>
      </c>
      <c r="I33" s="33">
        <v>691.78</v>
      </c>
      <c r="J33" s="36">
        <v>2075.34</v>
      </c>
      <c r="M33" s="39"/>
      <c r="R33" s="38"/>
    </row>
    <row r="34" spans="1:18" x14ac:dyDescent="0.2">
      <c r="A34" s="12">
        <v>45690</v>
      </c>
      <c r="B34" s="4">
        <f>YEAR(A34)</f>
        <v>2025</v>
      </c>
      <c r="C34" s="4">
        <f t="shared" si="1"/>
        <v>2</v>
      </c>
      <c r="D34" s="5" t="s">
        <v>11</v>
      </c>
      <c r="E34" s="6" t="s">
        <v>1</v>
      </c>
      <c r="F34" s="6" t="s">
        <v>16</v>
      </c>
      <c r="G34" s="6" t="s">
        <v>25</v>
      </c>
      <c r="H34" s="6">
        <v>4</v>
      </c>
      <c r="I34" s="33">
        <v>1044.31</v>
      </c>
      <c r="J34" s="36">
        <v>4177.24</v>
      </c>
      <c r="M34" s="39"/>
      <c r="R34" s="38"/>
    </row>
    <row r="35" spans="1:18" x14ac:dyDescent="0.2">
      <c r="A35" s="12">
        <v>45691</v>
      </c>
      <c r="B35" s="4">
        <f t="shared" si="0"/>
        <v>2025</v>
      </c>
      <c r="C35" s="4">
        <f t="shared" si="1"/>
        <v>2</v>
      </c>
      <c r="D35" s="5" t="s">
        <v>4</v>
      </c>
      <c r="E35" s="6" t="s">
        <v>21</v>
      </c>
      <c r="F35" s="6" t="s">
        <v>16</v>
      </c>
      <c r="G35" s="6" t="s">
        <v>37</v>
      </c>
      <c r="H35" s="6">
        <v>10</v>
      </c>
      <c r="I35" s="33">
        <v>916.87</v>
      </c>
      <c r="J35" s="36">
        <v>9168.7000000000007</v>
      </c>
      <c r="M35" s="39"/>
      <c r="R35" s="38"/>
    </row>
    <row r="36" spans="1:18" x14ac:dyDescent="0.2">
      <c r="A36" s="12">
        <v>45692</v>
      </c>
      <c r="B36" s="4">
        <f t="shared" si="0"/>
        <v>2025</v>
      </c>
      <c r="C36" s="4">
        <f t="shared" si="1"/>
        <v>2</v>
      </c>
      <c r="D36" s="5" t="s">
        <v>19</v>
      </c>
      <c r="E36" s="6" t="s">
        <v>1</v>
      </c>
      <c r="F36" s="6" t="s">
        <v>35</v>
      </c>
      <c r="G36" s="6" t="s">
        <v>34</v>
      </c>
      <c r="H36" s="6">
        <v>7</v>
      </c>
      <c r="I36" s="33">
        <v>281.01</v>
      </c>
      <c r="J36" s="36">
        <v>1967.07</v>
      </c>
      <c r="M36" s="39"/>
      <c r="R36" s="38"/>
    </row>
    <row r="37" spans="1:18" x14ac:dyDescent="0.2">
      <c r="A37" s="12">
        <v>45693</v>
      </c>
      <c r="B37" s="4">
        <f t="shared" si="0"/>
        <v>2025</v>
      </c>
      <c r="C37" s="4">
        <f t="shared" si="1"/>
        <v>2</v>
      </c>
      <c r="D37" s="5" t="s">
        <v>4</v>
      </c>
      <c r="E37" s="6" t="s">
        <v>9</v>
      </c>
      <c r="F37" s="6" t="s">
        <v>35</v>
      </c>
      <c r="G37" s="6" t="s">
        <v>41</v>
      </c>
      <c r="H37" s="6">
        <v>9</v>
      </c>
      <c r="I37" s="33">
        <v>1322.93</v>
      </c>
      <c r="J37" s="36">
        <v>11906.37</v>
      </c>
      <c r="M37" s="39"/>
      <c r="R37" s="38"/>
    </row>
    <row r="38" spans="1:18" x14ac:dyDescent="0.2">
      <c r="A38" s="12">
        <v>45694</v>
      </c>
      <c r="B38" s="4">
        <f t="shared" si="0"/>
        <v>2025</v>
      </c>
      <c r="C38" s="4">
        <f t="shared" si="1"/>
        <v>2</v>
      </c>
      <c r="D38" s="5" t="s">
        <v>4</v>
      </c>
      <c r="E38" s="6" t="s">
        <v>26</v>
      </c>
      <c r="F38" s="6" t="s">
        <v>16</v>
      </c>
      <c r="G38" s="6" t="s">
        <v>27</v>
      </c>
      <c r="H38" s="6">
        <v>4</v>
      </c>
      <c r="I38" s="33">
        <v>1441.24</v>
      </c>
      <c r="J38" s="36">
        <v>5764.96</v>
      </c>
      <c r="M38" s="39"/>
      <c r="R38" s="38"/>
    </row>
    <row r="39" spans="1:18" x14ac:dyDescent="0.2">
      <c r="A39" s="12">
        <v>45695</v>
      </c>
      <c r="B39" s="4">
        <f t="shared" si="0"/>
        <v>2025</v>
      </c>
      <c r="C39" s="4">
        <f t="shared" si="1"/>
        <v>2</v>
      </c>
      <c r="D39" s="5" t="s">
        <v>0</v>
      </c>
      <c r="E39" s="6" t="s">
        <v>26</v>
      </c>
      <c r="F39" s="6" t="s">
        <v>35</v>
      </c>
      <c r="G39" s="6" t="s">
        <v>30</v>
      </c>
      <c r="H39" s="6">
        <v>4</v>
      </c>
      <c r="I39" s="33">
        <v>74.849999999999994</v>
      </c>
      <c r="J39" s="36">
        <v>299.39999999999998</v>
      </c>
      <c r="M39" s="39"/>
      <c r="R39" s="38"/>
    </row>
    <row r="40" spans="1:18" x14ac:dyDescent="0.2">
      <c r="A40" s="12">
        <v>45696</v>
      </c>
      <c r="B40" s="4">
        <f t="shared" si="0"/>
        <v>2025</v>
      </c>
      <c r="C40" s="4">
        <f t="shared" si="1"/>
        <v>2</v>
      </c>
      <c r="D40" s="5" t="s">
        <v>11</v>
      </c>
      <c r="E40" s="6" t="s">
        <v>21</v>
      </c>
      <c r="F40" s="6" t="s">
        <v>35</v>
      </c>
      <c r="G40" s="6" t="s">
        <v>42</v>
      </c>
      <c r="H40" s="6">
        <v>10</v>
      </c>
      <c r="I40" s="33">
        <v>1242.53</v>
      </c>
      <c r="J40" s="36">
        <v>12425.3</v>
      </c>
      <c r="M40" s="39"/>
      <c r="R40" s="38"/>
    </row>
    <row r="41" spans="1:18" x14ac:dyDescent="0.2">
      <c r="A41" s="12">
        <v>45697</v>
      </c>
      <c r="B41" s="4">
        <f t="shared" si="0"/>
        <v>2025</v>
      </c>
      <c r="C41" s="4">
        <f t="shared" si="1"/>
        <v>2</v>
      </c>
      <c r="D41" s="5" t="s">
        <v>0</v>
      </c>
      <c r="E41" s="6" t="s">
        <v>9</v>
      </c>
      <c r="F41" s="6" t="s">
        <v>16</v>
      </c>
      <c r="G41" s="6" t="s">
        <v>10</v>
      </c>
      <c r="H41" s="6">
        <v>2</v>
      </c>
      <c r="I41" s="33">
        <v>63.27</v>
      </c>
      <c r="J41" s="36">
        <v>126.54</v>
      </c>
      <c r="M41" s="39"/>
      <c r="R41" s="38"/>
    </row>
    <row r="42" spans="1:18" x14ac:dyDescent="0.2">
      <c r="A42" s="12">
        <v>45698</v>
      </c>
      <c r="B42" s="4">
        <f t="shared" si="0"/>
        <v>2025</v>
      </c>
      <c r="C42" s="4">
        <f t="shared" si="1"/>
        <v>2</v>
      </c>
      <c r="D42" s="5" t="s">
        <v>0</v>
      </c>
      <c r="E42" s="6" t="s">
        <v>12</v>
      </c>
      <c r="F42" s="6" t="s">
        <v>13</v>
      </c>
      <c r="G42" s="6" t="s">
        <v>20</v>
      </c>
      <c r="H42" s="6">
        <v>6</v>
      </c>
      <c r="I42" s="33">
        <v>1115.8499999999999</v>
      </c>
      <c r="J42" s="36">
        <v>6695.1</v>
      </c>
      <c r="M42" s="39"/>
      <c r="R42" s="38"/>
    </row>
    <row r="43" spans="1:18" x14ac:dyDescent="0.2">
      <c r="A43" s="12">
        <v>45699</v>
      </c>
      <c r="B43" s="4">
        <f t="shared" si="0"/>
        <v>2025</v>
      </c>
      <c r="C43" s="4">
        <f t="shared" si="1"/>
        <v>2</v>
      </c>
      <c r="D43" s="5" t="s">
        <v>11</v>
      </c>
      <c r="E43" s="6" t="s">
        <v>26</v>
      </c>
      <c r="F43" s="6" t="s">
        <v>2</v>
      </c>
      <c r="G43" s="6" t="s">
        <v>30</v>
      </c>
      <c r="H43" s="6">
        <v>1</v>
      </c>
      <c r="I43" s="33">
        <v>160.01</v>
      </c>
      <c r="J43" s="36">
        <v>160.01</v>
      </c>
      <c r="M43" s="39"/>
      <c r="R43" s="38"/>
    </row>
    <row r="44" spans="1:18" x14ac:dyDescent="0.2">
      <c r="A44" s="12">
        <v>45700</v>
      </c>
      <c r="B44" s="4">
        <f t="shared" si="0"/>
        <v>2025</v>
      </c>
      <c r="C44" s="4">
        <f t="shared" si="1"/>
        <v>2</v>
      </c>
      <c r="D44" s="5" t="s">
        <v>4</v>
      </c>
      <c r="E44" s="6" t="s">
        <v>9</v>
      </c>
      <c r="F44" s="6" t="s">
        <v>33</v>
      </c>
      <c r="G44" s="6" t="s">
        <v>17</v>
      </c>
      <c r="H44" s="6">
        <v>8</v>
      </c>
      <c r="I44" s="33">
        <v>1094.06</v>
      </c>
      <c r="J44" s="36">
        <v>8752.48</v>
      </c>
      <c r="M44" s="39"/>
      <c r="R44" s="38"/>
    </row>
    <row r="45" spans="1:18" x14ac:dyDescent="0.2">
      <c r="A45" s="12">
        <v>45701</v>
      </c>
      <c r="B45" s="4">
        <f t="shared" si="0"/>
        <v>2025</v>
      </c>
      <c r="C45" s="4">
        <f t="shared" si="1"/>
        <v>2</v>
      </c>
      <c r="D45" s="5" t="s">
        <v>8</v>
      </c>
      <c r="E45" s="6" t="s">
        <v>1</v>
      </c>
      <c r="F45" s="6" t="s">
        <v>38</v>
      </c>
      <c r="G45" s="6" t="s">
        <v>3</v>
      </c>
      <c r="H45" s="6">
        <v>3</v>
      </c>
      <c r="I45" s="33">
        <v>1159.1500000000001</v>
      </c>
      <c r="J45" s="36">
        <v>3477.45</v>
      </c>
      <c r="M45" s="39"/>
      <c r="R45" s="38"/>
    </row>
    <row r="46" spans="1:18" x14ac:dyDescent="0.2">
      <c r="A46" s="12">
        <v>45702</v>
      </c>
      <c r="B46" s="4">
        <f t="shared" si="0"/>
        <v>2025</v>
      </c>
      <c r="C46" s="4">
        <f t="shared" si="1"/>
        <v>2</v>
      </c>
      <c r="D46" s="5" t="s">
        <v>8</v>
      </c>
      <c r="E46" s="6" t="s">
        <v>5</v>
      </c>
      <c r="F46" s="6" t="s">
        <v>13</v>
      </c>
      <c r="G46" s="6" t="s">
        <v>43</v>
      </c>
      <c r="H46" s="6">
        <v>10</v>
      </c>
      <c r="I46" s="33">
        <v>1172.8499999999999</v>
      </c>
      <c r="J46" s="36">
        <v>11728.5</v>
      </c>
      <c r="M46" s="39"/>
      <c r="R46" s="38"/>
    </row>
    <row r="47" spans="1:18" x14ac:dyDescent="0.2">
      <c r="A47" s="12">
        <v>45703</v>
      </c>
      <c r="B47" s="4">
        <f t="shared" si="0"/>
        <v>2025</v>
      </c>
      <c r="C47" s="4">
        <f t="shared" si="1"/>
        <v>2</v>
      </c>
      <c r="D47" s="5" t="s">
        <v>19</v>
      </c>
      <c r="E47" s="6" t="s">
        <v>26</v>
      </c>
      <c r="F47" s="6" t="s">
        <v>33</v>
      </c>
      <c r="G47" s="6" t="s">
        <v>27</v>
      </c>
      <c r="H47" s="6">
        <v>6</v>
      </c>
      <c r="I47" s="33">
        <v>1265.68</v>
      </c>
      <c r="J47" s="36">
        <v>7594.08</v>
      </c>
      <c r="M47" s="39"/>
      <c r="R47" s="38"/>
    </row>
    <row r="48" spans="1:18" x14ac:dyDescent="0.2">
      <c r="A48" s="12">
        <v>45704</v>
      </c>
      <c r="B48" s="4">
        <f t="shared" si="0"/>
        <v>2025</v>
      </c>
      <c r="C48" s="4">
        <f t="shared" si="1"/>
        <v>2</v>
      </c>
      <c r="D48" s="5" t="s">
        <v>0</v>
      </c>
      <c r="E48" s="6" t="s">
        <v>9</v>
      </c>
      <c r="F48" s="6" t="s">
        <v>6</v>
      </c>
      <c r="G48" s="6" t="s">
        <v>10</v>
      </c>
      <c r="H48" s="6">
        <v>2</v>
      </c>
      <c r="I48" s="33">
        <v>1012.88</v>
      </c>
      <c r="J48" s="36">
        <v>2025.76</v>
      </c>
      <c r="M48" s="39"/>
      <c r="R48" s="38"/>
    </row>
    <row r="49" spans="1:18" x14ac:dyDescent="0.2">
      <c r="A49" s="12">
        <v>45705</v>
      </c>
      <c r="B49" s="4">
        <f t="shared" si="0"/>
        <v>2025</v>
      </c>
      <c r="C49" s="4">
        <f t="shared" si="1"/>
        <v>2</v>
      </c>
      <c r="D49" s="5" t="s">
        <v>8</v>
      </c>
      <c r="E49" s="6" t="s">
        <v>9</v>
      </c>
      <c r="F49" s="6" t="s">
        <v>38</v>
      </c>
      <c r="G49" s="6" t="s">
        <v>10</v>
      </c>
      <c r="H49" s="6">
        <v>7</v>
      </c>
      <c r="I49" s="33">
        <v>397.61</v>
      </c>
      <c r="J49" s="36">
        <v>2783.27</v>
      </c>
      <c r="M49" s="39"/>
      <c r="R49" s="38"/>
    </row>
    <row r="50" spans="1:18" x14ac:dyDescent="0.2">
      <c r="A50" s="12">
        <v>45706</v>
      </c>
      <c r="B50" s="4">
        <f t="shared" si="0"/>
        <v>2025</v>
      </c>
      <c r="C50" s="4">
        <f t="shared" si="1"/>
        <v>2</v>
      </c>
      <c r="D50" s="5" t="s">
        <v>0</v>
      </c>
      <c r="E50" s="6" t="s">
        <v>9</v>
      </c>
      <c r="F50" s="6" t="s">
        <v>38</v>
      </c>
      <c r="G50" s="6" t="s">
        <v>10</v>
      </c>
      <c r="H50" s="6">
        <v>2</v>
      </c>
      <c r="I50" s="33">
        <v>200.42</v>
      </c>
      <c r="J50" s="36">
        <v>400.84</v>
      </c>
      <c r="M50" s="39"/>
      <c r="R50" s="38"/>
    </row>
    <row r="51" spans="1:18" x14ac:dyDescent="0.2">
      <c r="A51" s="12">
        <v>45707</v>
      </c>
      <c r="B51" s="4">
        <f t="shared" si="0"/>
        <v>2025</v>
      </c>
      <c r="C51" s="4">
        <f t="shared" si="1"/>
        <v>2</v>
      </c>
      <c r="D51" s="5" t="s">
        <v>8</v>
      </c>
      <c r="E51" s="6" t="s">
        <v>1</v>
      </c>
      <c r="F51" s="6" t="s">
        <v>6</v>
      </c>
      <c r="G51" s="6" t="s">
        <v>3</v>
      </c>
      <c r="H51" s="6">
        <v>4</v>
      </c>
      <c r="I51" s="33">
        <v>1152.99</v>
      </c>
      <c r="J51" s="36">
        <v>4611.96</v>
      </c>
      <c r="M51" s="39"/>
      <c r="R51" s="38"/>
    </row>
    <row r="52" spans="1:18" x14ac:dyDescent="0.2">
      <c r="A52" s="12">
        <v>45708</v>
      </c>
      <c r="B52" s="4">
        <f t="shared" si="0"/>
        <v>2025</v>
      </c>
      <c r="C52" s="4">
        <f t="shared" si="1"/>
        <v>2</v>
      </c>
      <c r="D52" s="5" t="s">
        <v>11</v>
      </c>
      <c r="E52" s="6" t="s">
        <v>12</v>
      </c>
      <c r="F52" s="6" t="s">
        <v>16</v>
      </c>
      <c r="G52" s="6" t="s">
        <v>44</v>
      </c>
      <c r="H52" s="6">
        <v>2</v>
      </c>
      <c r="I52" s="33">
        <v>308.88</v>
      </c>
      <c r="J52" s="36">
        <v>617.76</v>
      </c>
      <c r="M52" s="39"/>
      <c r="R52" s="38"/>
    </row>
    <row r="53" spans="1:18" x14ac:dyDescent="0.2">
      <c r="A53" s="12">
        <v>45709</v>
      </c>
      <c r="B53" s="4">
        <f t="shared" si="0"/>
        <v>2025</v>
      </c>
      <c r="C53" s="4">
        <f t="shared" si="1"/>
        <v>2</v>
      </c>
      <c r="D53" s="5" t="s">
        <v>4</v>
      </c>
      <c r="E53" s="6" t="s">
        <v>5</v>
      </c>
      <c r="F53" s="6" t="s">
        <v>38</v>
      </c>
      <c r="G53" s="6" t="s">
        <v>43</v>
      </c>
      <c r="H53" s="6">
        <v>7</v>
      </c>
      <c r="I53" s="33">
        <v>1391.47</v>
      </c>
      <c r="J53" s="36">
        <v>9740.2900000000009</v>
      </c>
      <c r="M53" s="39"/>
      <c r="R53" s="38"/>
    </row>
    <row r="54" spans="1:18" x14ac:dyDescent="0.2">
      <c r="A54" s="12">
        <v>45710</v>
      </c>
      <c r="B54" s="4">
        <f t="shared" si="0"/>
        <v>2025</v>
      </c>
      <c r="C54" s="4">
        <f t="shared" si="1"/>
        <v>2</v>
      </c>
      <c r="D54" s="5" t="s">
        <v>4</v>
      </c>
      <c r="E54" s="6" t="s">
        <v>26</v>
      </c>
      <c r="F54" s="6" t="s">
        <v>13</v>
      </c>
      <c r="G54" s="6" t="s">
        <v>27</v>
      </c>
      <c r="H54" s="6">
        <v>3</v>
      </c>
      <c r="I54" s="33">
        <v>1372.26</v>
      </c>
      <c r="J54" s="36">
        <v>4116.78</v>
      </c>
      <c r="M54" s="39"/>
      <c r="R54" s="38"/>
    </row>
    <row r="55" spans="1:18" x14ac:dyDescent="0.2">
      <c r="A55" s="12">
        <v>45711</v>
      </c>
      <c r="B55" s="4">
        <f t="shared" si="0"/>
        <v>2025</v>
      </c>
      <c r="C55" s="4">
        <f t="shared" si="1"/>
        <v>2</v>
      </c>
      <c r="D55" s="5" t="s">
        <v>19</v>
      </c>
      <c r="E55" s="6" t="s">
        <v>9</v>
      </c>
      <c r="F55" s="6" t="s">
        <v>33</v>
      </c>
      <c r="G55" s="6" t="s">
        <v>18</v>
      </c>
      <c r="H55" s="6">
        <v>5</v>
      </c>
      <c r="I55" s="33">
        <v>967.49</v>
      </c>
      <c r="J55" s="36">
        <v>4837.45</v>
      </c>
      <c r="M55" s="39"/>
      <c r="R55" s="38"/>
    </row>
    <row r="56" spans="1:18" x14ac:dyDescent="0.2">
      <c r="A56" s="12">
        <v>45712</v>
      </c>
      <c r="B56" s="4">
        <f t="shared" si="0"/>
        <v>2025</v>
      </c>
      <c r="C56" s="4">
        <f t="shared" si="1"/>
        <v>2</v>
      </c>
      <c r="D56" s="5" t="s">
        <v>11</v>
      </c>
      <c r="E56" s="6" t="s">
        <v>26</v>
      </c>
      <c r="F56" s="6" t="s">
        <v>33</v>
      </c>
      <c r="G56" s="6" t="s">
        <v>39</v>
      </c>
      <c r="H56" s="6">
        <v>2</v>
      </c>
      <c r="I56" s="33">
        <v>384.9</v>
      </c>
      <c r="J56" s="36">
        <v>769.8</v>
      </c>
      <c r="M56" s="39"/>
      <c r="R56" s="38"/>
    </row>
    <row r="57" spans="1:18" x14ac:dyDescent="0.2">
      <c r="A57" s="12">
        <v>45713</v>
      </c>
      <c r="B57" s="4">
        <f t="shared" si="0"/>
        <v>2025</v>
      </c>
      <c r="C57" s="4">
        <f t="shared" si="1"/>
        <v>2</v>
      </c>
      <c r="D57" s="5" t="s">
        <v>11</v>
      </c>
      <c r="E57" s="6" t="s">
        <v>12</v>
      </c>
      <c r="F57" s="6" t="s">
        <v>33</v>
      </c>
      <c r="G57" s="6" t="s">
        <v>14</v>
      </c>
      <c r="H57" s="6">
        <v>8</v>
      </c>
      <c r="I57" s="33">
        <v>280.04000000000002</v>
      </c>
      <c r="J57" s="36">
        <v>2240.3200000000002</v>
      </c>
      <c r="M57" s="39"/>
      <c r="R57" s="38"/>
    </row>
    <row r="58" spans="1:18" x14ac:dyDescent="0.2">
      <c r="A58" s="12">
        <v>45714</v>
      </c>
      <c r="B58" s="4">
        <f t="shared" si="0"/>
        <v>2025</v>
      </c>
      <c r="C58" s="4">
        <f t="shared" si="1"/>
        <v>2</v>
      </c>
      <c r="D58" s="5" t="s">
        <v>4</v>
      </c>
      <c r="E58" s="6" t="s">
        <v>21</v>
      </c>
      <c r="F58" s="6" t="s">
        <v>33</v>
      </c>
      <c r="G58" s="6" t="s">
        <v>22</v>
      </c>
      <c r="H58" s="6">
        <v>1</v>
      </c>
      <c r="I58" s="33">
        <v>1426.09</v>
      </c>
      <c r="J58" s="36">
        <v>1426.09</v>
      </c>
      <c r="M58" s="39"/>
      <c r="R58" s="38"/>
    </row>
    <row r="59" spans="1:18" x14ac:dyDescent="0.2">
      <c r="A59" s="12">
        <v>45715</v>
      </c>
      <c r="B59" s="4">
        <f t="shared" si="0"/>
        <v>2025</v>
      </c>
      <c r="C59" s="4">
        <f t="shared" si="1"/>
        <v>2</v>
      </c>
      <c r="D59" s="5" t="s">
        <v>4</v>
      </c>
      <c r="E59" s="6" t="s">
        <v>12</v>
      </c>
      <c r="F59" s="6" t="s">
        <v>33</v>
      </c>
      <c r="G59" s="6" t="s">
        <v>14</v>
      </c>
      <c r="H59" s="6">
        <v>5</v>
      </c>
      <c r="I59" s="33">
        <v>68.88</v>
      </c>
      <c r="J59" s="36">
        <v>344.4</v>
      </c>
      <c r="M59" s="39"/>
      <c r="R59" s="38"/>
    </row>
    <row r="60" spans="1:18" x14ac:dyDescent="0.2">
      <c r="A60" s="12">
        <v>45716</v>
      </c>
      <c r="B60" s="4">
        <f t="shared" si="0"/>
        <v>2025</v>
      </c>
      <c r="C60" s="4">
        <f t="shared" si="1"/>
        <v>2</v>
      </c>
      <c r="D60" s="5" t="s">
        <v>11</v>
      </c>
      <c r="E60" s="6" t="s">
        <v>5</v>
      </c>
      <c r="F60" s="6" t="s">
        <v>2</v>
      </c>
      <c r="G60" s="6" t="s">
        <v>7</v>
      </c>
      <c r="H60" s="6">
        <v>5</v>
      </c>
      <c r="I60" s="33">
        <v>441.13</v>
      </c>
      <c r="J60" s="36">
        <v>2205.65</v>
      </c>
      <c r="M60" s="39"/>
      <c r="R60" s="38"/>
    </row>
    <row r="61" spans="1:18" x14ac:dyDescent="0.2">
      <c r="A61" s="12">
        <v>45717</v>
      </c>
      <c r="B61" s="4">
        <f t="shared" si="0"/>
        <v>2025</v>
      </c>
      <c r="C61" s="4">
        <f t="shared" si="1"/>
        <v>3</v>
      </c>
      <c r="D61" s="5" t="s">
        <v>4</v>
      </c>
      <c r="E61" s="6" t="s">
        <v>12</v>
      </c>
      <c r="F61" s="6" t="s">
        <v>33</v>
      </c>
      <c r="G61" s="6" t="s">
        <v>45</v>
      </c>
      <c r="H61" s="6">
        <v>6</v>
      </c>
      <c r="I61" s="33">
        <v>1077.0899999999999</v>
      </c>
      <c r="J61" s="36">
        <v>6462.54</v>
      </c>
      <c r="M61" s="39"/>
      <c r="R61" s="38"/>
    </row>
    <row r="62" spans="1:18" x14ac:dyDescent="0.2">
      <c r="A62" s="12">
        <v>45718</v>
      </c>
      <c r="B62" s="4">
        <f t="shared" si="0"/>
        <v>2025</v>
      </c>
      <c r="C62" s="4">
        <f t="shared" si="1"/>
        <v>3</v>
      </c>
      <c r="D62" s="5" t="s">
        <v>4</v>
      </c>
      <c r="E62" s="6" t="s">
        <v>12</v>
      </c>
      <c r="F62" s="6" t="s">
        <v>2</v>
      </c>
      <c r="G62" s="6" t="s">
        <v>45</v>
      </c>
      <c r="H62" s="6">
        <v>4</v>
      </c>
      <c r="I62" s="33">
        <v>1066.71</v>
      </c>
      <c r="J62" s="36">
        <v>4266.84</v>
      </c>
      <c r="M62" s="39"/>
      <c r="R62" s="38"/>
    </row>
    <row r="63" spans="1:18" x14ac:dyDescent="0.2">
      <c r="A63" s="12">
        <v>45719</v>
      </c>
      <c r="B63" s="4">
        <f t="shared" si="0"/>
        <v>2025</v>
      </c>
      <c r="C63" s="4">
        <f t="shared" si="1"/>
        <v>3</v>
      </c>
      <c r="D63" s="5" t="s">
        <v>11</v>
      </c>
      <c r="E63" s="6" t="s">
        <v>21</v>
      </c>
      <c r="F63" s="6" t="s">
        <v>35</v>
      </c>
      <c r="G63" s="6" t="s">
        <v>46</v>
      </c>
      <c r="H63" s="6">
        <v>8</v>
      </c>
      <c r="I63" s="33">
        <v>817.81</v>
      </c>
      <c r="J63" s="36">
        <v>6542.48</v>
      </c>
      <c r="M63" s="39"/>
      <c r="R63" s="38"/>
    </row>
    <row r="64" spans="1:18" x14ac:dyDescent="0.2">
      <c r="A64" s="12">
        <v>45720</v>
      </c>
      <c r="B64" s="4">
        <f t="shared" si="0"/>
        <v>2025</v>
      </c>
      <c r="C64" s="4">
        <f t="shared" si="1"/>
        <v>3</v>
      </c>
      <c r="D64" s="5" t="s">
        <v>11</v>
      </c>
      <c r="E64" s="6" t="s">
        <v>1</v>
      </c>
      <c r="F64" s="6" t="s">
        <v>13</v>
      </c>
      <c r="G64" s="6" t="s">
        <v>25</v>
      </c>
      <c r="H64" s="6">
        <v>3</v>
      </c>
      <c r="I64" s="33">
        <v>1251.23</v>
      </c>
      <c r="J64" s="36">
        <v>3753.69</v>
      </c>
      <c r="M64" s="39"/>
      <c r="R64" s="38"/>
    </row>
    <row r="65" spans="1:18" x14ac:dyDescent="0.2">
      <c r="A65" s="12">
        <v>45721</v>
      </c>
      <c r="B65" s="4">
        <f t="shared" si="0"/>
        <v>2025</v>
      </c>
      <c r="C65" s="4">
        <f t="shared" si="1"/>
        <v>3</v>
      </c>
      <c r="D65" s="5" t="s">
        <v>4</v>
      </c>
      <c r="E65" s="6" t="s">
        <v>21</v>
      </c>
      <c r="F65" s="6" t="s">
        <v>35</v>
      </c>
      <c r="G65" s="6" t="s">
        <v>42</v>
      </c>
      <c r="H65" s="6">
        <v>4</v>
      </c>
      <c r="I65" s="33">
        <v>1106.17</v>
      </c>
      <c r="J65" s="36">
        <v>4424.68</v>
      </c>
      <c r="M65" s="39"/>
      <c r="R65" s="38"/>
    </row>
    <row r="66" spans="1:18" x14ac:dyDescent="0.2">
      <c r="A66" s="12">
        <v>45722</v>
      </c>
      <c r="B66" s="4">
        <f t="shared" si="0"/>
        <v>2025</v>
      </c>
      <c r="C66" s="4">
        <f t="shared" si="1"/>
        <v>3</v>
      </c>
      <c r="D66" s="5" t="s">
        <v>0</v>
      </c>
      <c r="E66" s="6" t="s">
        <v>26</v>
      </c>
      <c r="F66" s="6" t="s">
        <v>23</v>
      </c>
      <c r="G66" s="6" t="s">
        <v>30</v>
      </c>
      <c r="H66" s="6">
        <v>4</v>
      </c>
      <c r="I66" s="33">
        <v>312.31</v>
      </c>
      <c r="J66" s="36">
        <v>1249.24</v>
      </c>
      <c r="M66" s="39"/>
      <c r="R66" s="38"/>
    </row>
    <row r="67" spans="1:18" x14ac:dyDescent="0.2">
      <c r="A67" s="12">
        <v>45723</v>
      </c>
      <c r="B67" s="4">
        <f t="shared" ref="B67:B130" si="2">YEAR(A67)</f>
        <v>2025</v>
      </c>
      <c r="C67" s="4">
        <f t="shared" ref="C67:C130" si="3">MONTH(A67)</f>
        <v>3</v>
      </c>
      <c r="D67" s="5" t="s">
        <v>0</v>
      </c>
      <c r="E67" s="6" t="s">
        <v>26</v>
      </c>
      <c r="F67" s="6" t="s">
        <v>35</v>
      </c>
      <c r="G67" s="6" t="s">
        <v>30</v>
      </c>
      <c r="H67" s="6">
        <v>8</v>
      </c>
      <c r="I67" s="33">
        <v>553.84</v>
      </c>
      <c r="J67" s="36">
        <v>4430.72</v>
      </c>
      <c r="M67" s="39"/>
      <c r="R67" s="38"/>
    </row>
    <row r="68" spans="1:18" x14ac:dyDescent="0.2">
      <c r="A68" s="12">
        <v>45724</v>
      </c>
      <c r="B68" s="4">
        <f t="shared" si="2"/>
        <v>2025</v>
      </c>
      <c r="C68" s="4">
        <f t="shared" si="3"/>
        <v>3</v>
      </c>
      <c r="D68" s="5" t="s">
        <v>0</v>
      </c>
      <c r="E68" s="6" t="s">
        <v>5</v>
      </c>
      <c r="F68" s="6" t="s">
        <v>6</v>
      </c>
      <c r="G68" s="6" t="s">
        <v>15</v>
      </c>
      <c r="H68" s="6">
        <v>4</v>
      </c>
      <c r="I68" s="33">
        <v>385.36</v>
      </c>
      <c r="J68" s="36">
        <v>1541.44</v>
      </c>
      <c r="M68" s="39"/>
      <c r="R68" s="38"/>
    </row>
    <row r="69" spans="1:18" x14ac:dyDescent="0.2">
      <c r="A69" s="12">
        <v>45725</v>
      </c>
      <c r="B69" s="4">
        <f t="shared" si="2"/>
        <v>2025</v>
      </c>
      <c r="C69" s="4">
        <f t="shared" si="3"/>
        <v>3</v>
      </c>
      <c r="D69" s="5" t="s">
        <v>8</v>
      </c>
      <c r="E69" s="6" t="s">
        <v>21</v>
      </c>
      <c r="F69" s="6" t="s">
        <v>16</v>
      </c>
      <c r="G69" s="6" t="s">
        <v>28</v>
      </c>
      <c r="H69" s="6">
        <v>10</v>
      </c>
      <c r="I69" s="33">
        <v>854.28</v>
      </c>
      <c r="J69" s="36">
        <v>8542.7999999999993</v>
      </c>
      <c r="M69" s="39"/>
      <c r="R69" s="38"/>
    </row>
    <row r="70" spans="1:18" x14ac:dyDescent="0.2">
      <c r="A70" s="12">
        <v>45726</v>
      </c>
      <c r="B70" s="4">
        <f t="shared" si="2"/>
        <v>2025</v>
      </c>
      <c r="C70" s="4">
        <f t="shared" si="3"/>
        <v>3</v>
      </c>
      <c r="D70" s="5" t="s">
        <v>0</v>
      </c>
      <c r="E70" s="6" t="s">
        <v>5</v>
      </c>
      <c r="F70" s="6" t="s">
        <v>13</v>
      </c>
      <c r="G70" s="6" t="s">
        <v>43</v>
      </c>
      <c r="H70" s="6">
        <v>9</v>
      </c>
      <c r="I70" s="33">
        <v>189.32</v>
      </c>
      <c r="J70" s="36">
        <v>1703.88</v>
      </c>
      <c r="M70" s="39"/>
      <c r="R70" s="38"/>
    </row>
    <row r="71" spans="1:18" x14ac:dyDescent="0.2">
      <c r="A71" s="12">
        <v>45727</v>
      </c>
      <c r="B71" s="4">
        <f t="shared" si="2"/>
        <v>2025</v>
      </c>
      <c r="C71" s="4">
        <f t="shared" si="3"/>
        <v>3</v>
      </c>
      <c r="D71" s="5" t="s">
        <v>11</v>
      </c>
      <c r="E71" s="6" t="s">
        <v>26</v>
      </c>
      <c r="F71" s="6" t="s">
        <v>6</v>
      </c>
      <c r="G71" s="6" t="s">
        <v>30</v>
      </c>
      <c r="H71" s="6">
        <v>2</v>
      </c>
      <c r="I71" s="33">
        <v>485.97</v>
      </c>
      <c r="J71" s="36">
        <v>971.94</v>
      </c>
      <c r="M71" s="39"/>
      <c r="R71" s="38"/>
    </row>
    <row r="72" spans="1:18" x14ac:dyDescent="0.2">
      <c r="A72" s="12">
        <v>45728</v>
      </c>
      <c r="B72" s="4">
        <f t="shared" si="2"/>
        <v>2025</v>
      </c>
      <c r="C72" s="4">
        <f t="shared" si="3"/>
        <v>3</v>
      </c>
      <c r="D72" s="5" t="s">
        <v>19</v>
      </c>
      <c r="E72" s="6" t="s">
        <v>26</v>
      </c>
      <c r="F72" s="6" t="s">
        <v>35</v>
      </c>
      <c r="G72" s="6" t="s">
        <v>27</v>
      </c>
      <c r="H72" s="6">
        <v>4</v>
      </c>
      <c r="I72" s="33">
        <v>948.87</v>
      </c>
      <c r="J72" s="36">
        <v>3795.48</v>
      </c>
      <c r="M72" s="39"/>
      <c r="R72" s="38"/>
    </row>
    <row r="73" spans="1:18" x14ac:dyDescent="0.2">
      <c r="A73" s="12">
        <v>45729</v>
      </c>
      <c r="B73" s="4">
        <f t="shared" si="2"/>
        <v>2025</v>
      </c>
      <c r="C73" s="4">
        <f t="shared" si="3"/>
        <v>3</v>
      </c>
      <c r="D73" s="5" t="s">
        <v>8</v>
      </c>
      <c r="E73" s="6" t="s">
        <v>1</v>
      </c>
      <c r="F73" s="6" t="s">
        <v>16</v>
      </c>
      <c r="G73" s="6" t="s">
        <v>25</v>
      </c>
      <c r="H73" s="6">
        <v>9</v>
      </c>
      <c r="I73" s="33">
        <v>1223.9100000000001</v>
      </c>
      <c r="J73" s="36">
        <v>11015.19</v>
      </c>
      <c r="M73" s="39"/>
      <c r="R73" s="38"/>
    </row>
    <row r="74" spans="1:18" x14ac:dyDescent="0.2">
      <c r="A74" s="12">
        <v>45730</v>
      </c>
      <c r="B74" s="4">
        <f t="shared" si="2"/>
        <v>2025</v>
      </c>
      <c r="C74" s="4">
        <f t="shared" si="3"/>
        <v>3</v>
      </c>
      <c r="D74" s="5" t="s">
        <v>19</v>
      </c>
      <c r="E74" s="6" t="s">
        <v>9</v>
      </c>
      <c r="F74" s="6" t="s">
        <v>35</v>
      </c>
      <c r="G74" s="6" t="s">
        <v>41</v>
      </c>
      <c r="H74" s="6">
        <v>4</v>
      </c>
      <c r="I74" s="33">
        <v>258.83999999999997</v>
      </c>
      <c r="J74" s="36">
        <v>1035.3599999999999</v>
      </c>
      <c r="M74" s="39"/>
      <c r="R74" s="38"/>
    </row>
    <row r="75" spans="1:18" x14ac:dyDescent="0.2">
      <c r="A75" s="12">
        <v>45731</v>
      </c>
      <c r="B75" s="4">
        <f t="shared" si="2"/>
        <v>2025</v>
      </c>
      <c r="C75" s="4">
        <f t="shared" si="3"/>
        <v>3</v>
      </c>
      <c r="D75" s="5" t="s">
        <v>4</v>
      </c>
      <c r="E75" s="6" t="s">
        <v>26</v>
      </c>
      <c r="F75" s="6" t="s">
        <v>23</v>
      </c>
      <c r="G75" s="6" t="s">
        <v>47</v>
      </c>
      <c r="H75" s="6">
        <v>8</v>
      </c>
      <c r="I75" s="33">
        <v>429.77</v>
      </c>
      <c r="J75" s="36">
        <v>3438.16</v>
      </c>
      <c r="M75" s="39"/>
      <c r="R75" s="38"/>
    </row>
    <row r="76" spans="1:18" x14ac:dyDescent="0.2">
      <c r="A76" s="12">
        <v>45732</v>
      </c>
      <c r="B76" s="4">
        <f t="shared" si="2"/>
        <v>2025</v>
      </c>
      <c r="C76" s="4">
        <f t="shared" si="3"/>
        <v>3</v>
      </c>
      <c r="D76" s="5" t="s">
        <v>19</v>
      </c>
      <c r="E76" s="6" t="s">
        <v>9</v>
      </c>
      <c r="F76" s="6" t="s">
        <v>33</v>
      </c>
      <c r="G76" s="6" t="s">
        <v>18</v>
      </c>
      <c r="H76" s="6">
        <v>2</v>
      </c>
      <c r="I76" s="33">
        <v>1210.24</v>
      </c>
      <c r="J76" s="36">
        <v>2420.48</v>
      </c>
      <c r="M76" s="39"/>
      <c r="R76" s="38"/>
    </row>
    <row r="77" spans="1:18" x14ac:dyDescent="0.2">
      <c r="A77" s="12">
        <v>45733</v>
      </c>
      <c r="B77" s="4">
        <f t="shared" si="2"/>
        <v>2025</v>
      </c>
      <c r="C77" s="4">
        <f t="shared" si="3"/>
        <v>3</v>
      </c>
      <c r="D77" s="5" t="s">
        <v>0</v>
      </c>
      <c r="E77" s="6" t="s">
        <v>9</v>
      </c>
      <c r="F77" s="6" t="s">
        <v>38</v>
      </c>
      <c r="G77" s="6" t="s">
        <v>18</v>
      </c>
      <c r="H77" s="6">
        <v>2</v>
      </c>
      <c r="I77" s="33">
        <v>239.95</v>
      </c>
      <c r="J77" s="36">
        <v>479.9</v>
      </c>
      <c r="M77" s="39"/>
      <c r="R77" s="38"/>
    </row>
    <row r="78" spans="1:18" x14ac:dyDescent="0.2">
      <c r="A78" s="12">
        <v>45734</v>
      </c>
      <c r="B78" s="4">
        <f t="shared" si="2"/>
        <v>2025</v>
      </c>
      <c r="C78" s="4">
        <f t="shared" si="3"/>
        <v>3</v>
      </c>
      <c r="D78" s="5" t="s">
        <v>0</v>
      </c>
      <c r="E78" s="6" t="s">
        <v>12</v>
      </c>
      <c r="F78" s="6" t="s">
        <v>2</v>
      </c>
      <c r="G78" s="6" t="s">
        <v>45</v>
      </c>
      <c r="H78" s="6">
        <v>2</v>
      </c>
      <c r="I78" s="33">
        <v>186.58</v>
      </c>
      <c r="J78" s="36">
        <v>373.16</v>
      </c>
      <c r="M78" s="39"/>
      <c r="R78" s="38"/>
    </row>
    <row r="79" spans="1:18" x14ac:dyDescent="0.2">
      <c r="A79" s="12">
        <v>45735</v>
      </c>
      <c r="B79" s="4">
        <f t="shared" si="2"/>
        <v>2025</v>
      </c>
      <c r="C79" s="4">
        <f t="shared" si="3"/>
        <v>3</v>
      </c>
      <c r="D79" s="5" t="s">
        <v>8</v>
      </c>
      <c r="E79" s="6" t="s">
        <v>21</v>
      </c>
      <c r="F79" s="6" t="s">
        <v>16</v>
      </c>
      <c r="G79" s="6" t="s">
        <v>22</v>
      </c>
      <c r="H79" s="6">
        <v>8</v>
      </c>
      <c r="I79" s="33">
        <v>298.54000000000002</v>
      </c>
      <c r="J79" s="36">
        <v>2388.3200000000002</v>
      </c>
      <c r="M79" s="39"/>
      <c r="R79" s="38"/>
    </row>
    <row r="80" spans="1:18" x14ac:dyDescent="0.2">
      <c r="A80" s="12">
        <v>45736</v>
      </c>
      <c r="B80" s="4">
        <f t="shared" si="2"/>
        <v>2025</v>
      </c>
      <c r="C80" s="4">
        <f t="shared" si="3"/>
        <v>3</v>
      </c>
      <c r="D80" s="5" t="s">
        <v>4</v>
      </c>
      <c r="E80" s="6" t="s">
        <v>12</v>
      </c>
      <c r="F80" s="6" t="s">
        <v>16</v>
      </c>
      <c r="G80" s="6" t="s">
        <v>44</v>
      </c>
      <c r="H80" s="6">
        <v>10</v>
      </c>
      <c r="I80" s="33">
        <v>784.21</v>
      </c>
      <c r="J80" s="36">
        <v>7842.1</v>
      </c>
      <c r="M80" s="39"/>
      <c r="R80" s="38"/>
    </row>
    <row r="81" spans="1:18" x14ac:dyDescent="0.2">
      <c r="A81" s="12">
        <v>45737</v>
      </c>
      <c r="B81" s="4">
        <f t="shared" si="2"/>
        <v>2025</v>
      </c>
      <c r="C81" s="4">
        <f t="shared" si="3"/>
        <v>3</v>
      </c>
      <c r="D81" s="5" t="s">
        <v>8</v>
      </c>
      <c r="E81" s="6" t="s">
        <v>9</v>
      </c>
      <c r="F81" s="6" t="s">
        <v>6</v>
      </c>
      <c r="G81" s="6" t="s">
        <v>18</v>
      </c>
      <c r="H81" s="6">
        <v>10</v>
      </c>
      <c r="I81" s="33">
        <v>1097.97</v>
      </c>
      <c r="J81" s="36">
        <v>10979.7</v>
      </c>
      <c r="M81" s="39"/>
      <c r="R81" s="38"/>
    </row>
    <row r="82" spans="1:18" x14ac:dyDescent="0.2">
      <c r="A82" s="12">
        <v>45738</v>
      </c>
      <c r="B82" s="4">
        <f t="shared" si="2"/>
        <v>2025</v>
      </c>
      <c r="C82" s="4">
        <f t="shared" si="3"/>
        <v>3</v>
      </c>
      <c r="D82" s="5" t="s">
        <v>11</v>
      </c>
      <c r="E82" s="6" t="s">
        <v>26</v>
      </c>
      <c r="F82" s="6" t="s">
        <v>6</v>
      </c>
      <c r="G82" s="6" t="s">
        <v>36</v>
      </c>
      <c r="H82" s="6">
        <v>1</v>
      </c>
      <c r="I82" s="33">
        <v>1293.24</v>
      </c>
      <c r="J82" s="36">
        <v>1293.24</v>
      </c>
      <c r="M82" s="39"/>
      <c r="R82" s="38"/>
    </row>
    <row r="83" spans="1:18" x14ac:dyDescent="0.2">
      <c r="A83" s="12">
        <v>45739</v>
      </c>
      <c r="B83" s="4">
        <f t="shared" si="2"/>
        <v>2025</v>
      </c>
      <c r="C83" s="4">
        <f t="shared" si="3"/>
        <v>3</v>
      </c>
      <c r="D83" s="5" t="s">
        <v>0</v>
      </c>
      <c r="E83" s="6" t="s">
        <v>12</v>
      </c>
      <c r="F83" s="6" t="s">
        <v>2</v>
      </c>
      <c r="G83" s="6" t="s">
        <v>20</v>
      </c>
      <c r="H83" s="6">
        <v>2</v>
      </c>
      <c r="I83" s="33">
        <v>1326.18</v>
      </c>
      <c r="J83" s="36">
        <v>2652.36</v>
      </c>
      <c r="M83" s="39"/>
      <c r="R83" s="38"/>
    </row>
    <row r="84" spans="1:18" x14ac:dyDescent="0.2">
      <c r="A84" s="12">
        <v>45740</v>
      </c>
      <c r="B84" s="4">
        <f t="shared" si="2"/>
        <v>2025</v>
      </c>
      <c r="C84" s="4">
        <f t="shared" si="3"/>
        <v>3</v>
      </c>
      <c r="D84" s="5" t="s">
        <v>4</v>
      </c>
      <c r="E84" s="6" t="s">
        <v>12</v>
      </c>
      <c r="F84" s="6" t="s">
        <v>35</v>
      </c>
      <c r="G84" s="6" t="s">
        <v>31</v>
      </c>
      <c r="H84" s="6">
        <v>7</v>
      </c>
      <c r="I84" s="33">
        <v>1470.51</v>
      </c>
      <c r="J84" s="36">
        <v>10293.57</v>
      </c>
      <c r="M84" s="39"/>
      <c r="R84" s="38"/>
    </row>
    <row r="85" spans="1:18" x14ac:dyDescent="0.2">
      <c r="A85" s="12">
        <v>45741</v>
      </c>
      <c r="B85" s="4">
        <f t="shared" si="2"/>
        <v>2025</v>
      </c>
      <c r="C85" s="4">
        <f t="shared" si="3"/>
        <v>3</v>
      </c>
      <c r="D85" s="5" t="s">
        <v>11</v>
      </c>
      <c r="E85" s="6" t="s">
        <v>9</v>
      </c>
      <c r="F85" s="6" t="s">
        <v>38</v>
      </c>
      <c r="G85" s="6" t="s">
        <v>17</v>
      </c>
      <c r="H85" s="6">
        <v>7</v>
      </c>
      <c r="I85" s="33">
        <v>847.93</v>
      </c>
      <c r="J85" s="36">
        <v>5935.51</v>
      </c>
      <c r="M85" s="39"/>
      <c r="R85" s="38"/>
    </row>
    <row r="86" spans="1:18" x14ac:dyDescent="0.2">
      <c r="A86" s="12">
        <v>45742</v>
      </c>
      <c r="B86" s="4">
        <f t="shared" si="2"/>
        <v>2025</v>
      </c>
      <c r="C86" s="4">
        <f t="shared" si="3"/>
        <v>3</v>
      </c>
      <c r="D86" s="5" t="s">
        <v>0</v>
      </c>
      <c r="E86" s="6" t="s">
        <v>1</v>
      </c>
      <c r="F86" s="6" t="s">
        <v>2</v>
      </c>
      <c r="G86" s="6" t="s">
        <v>24</v>
      </c>
      <c r="H86" s="6">
        <v>6</v>
      </c>
      <c r="I86" s="33">
        <v>1002.34</v>
      </c>
      <c r="J86" s="36">
        <v>6014.04</v>
      </c>
      <c r="M86" s="39"/>
      <c r="R86" s="38"/>
    </row>
    <row r="87" spans="1:18" x14ac:dyDescent="0.2">
      <c r="A87" s="12">
        <v>45743</v>
      </c>
      <c r="B87" s="4">
        <f t="shared" si="2"/>
        <v>2025</v>
      </c>
      <c r="C87" s="4">
        <f t="shared" si="3"/>
        <v>3</v>
      </c>
      <c r="D87" s="5" t="s">
        <v>11</v>
      </c>
      <c r="E87" s="6" t="s">
        <v>9</v>
      </c>
      <c r="F87" s="6" t="s">
        <v>16</v>
      </c>
      <c r="G87" s="6" t="s">
        <v>40</v>
      </c>
      <c r="H87" s="6">
        <v>9</v>
      </c>
      <c r="I87" s="33">
        <v>92.72</v>
      </c>
      <c r="J87" s="36">
        <v>834.48</v>
      </c>
      <c r="M87" s="39"/>
      <c r="R87" s="38"/>
    </row>
    <row r="88" spans="1:18" x14ac:dyDescent="0.2">
      <c r="A88" s="12">
        <v>45744</v>
      </c>
      <c r="B88" s="4">
        <f t="shared" si="2"/>
        <v>2025</v>
      </c>
      <c r="C88" s="4">
        <f t="shared" si="3"/>
        <v>3</v>
      </c>
      <c r="D88" s="5" t="s">
        <v>4</v>
      </c>
      <c r="E88" s="6" t="s">
        <v>5</v>
      </c>
      <c r="F88" s="6" t="s">
        <v>38</v>
      </c>
      <c r="G88" s="6" t="s">
        <v>15</v>
      </c>
      <c r="H88" s="6">
        <v>1</v>
      </c>
      <c r="I88" s="33">
        <v>1233.1400000000001</v>
      </c>
      <c r="J88" s="36">
        <v>1233.1400000000001</v>
      </c>
      <c r="M88" s="39"/>
      <c r="R88" s="38"/>
    </row>
    <row r="89" spans="1:18" x14ac:dyDescent="0.2">
      <c r="A89" s="12">
        <v>45745</v>
      </c>
      <c r="B89" s="4">
        <f t="shared" si="2"/>
        <v>2025</v>
      </c>
      <c r="C89" s="4">
        <f t="shared" si="3"/>
        <v>3</v>
      </c>
      <c r="D89" s="5" t="s">
        <v>4</v>
      </c>
      <c r="E89" s="6" t="s">
        <v>5</v>
      </c>
      <c r="F89" s="6" t="s">
        <v>23</v>
      </c>
      <c r="G89" s="6" t="s">
        <v>32</v>
      </c>
      <c r="H89" s="6">
        <v>6</v>
      </c>
      <c r="I89" s="33">
        <v>711.2</v>
      </c>
      <c r="J89" s="36">
        <v>4267.2</v>
      </c>
      <c r="M89" s="39"/>
      <c r="R89" s="38"/>
    </row>
    <row r="90" spans="1:18" x14ac:dyDescent="0.2">
      <c r="A90" s="12">
        <v>45746</v>
      </c>
      <c r="B90" s="4">
        <f t="shared" si="2"/>
        <v>2025</v>
      </c>
      <c r="C90" s="4">
        <f t="shared" si="3"/>
        <v>3</v>
      </c>
      <c r="D90" s="5" t="s">
        <v>19</v>
      </c>
      <c r="E90" s="6" t="s">
        <v>5</v>
      </c>
      <c r="F90" s="6" t="s">
        <v>2</v>
      </c>
      <c r="G90" s="6" t="s">
        <v>43</v>
      </c>
      <c r="H90" s="6">
        <v>3</v>
      </c>
      <c r="I90" s="33">
        <v>1497.11</v>
      </c>
      <c r="J90" s="36">
        <v>4491.33</v>
      </c>
      <c r="M90" s="39"/>
      <c r="R90" s="38"/>
    </row>
    <row r="91" spans="1:18" x14ac:dyDescent="0.2">
      <c r="A91" s="12">
        <v>45747</v>
      </c>
      <c r="B91" s="4">
        <f t="shared" si="2"/>
        <v>2025</v>
      </c>
      <c r="C91" s="4">
        <f t="shared" si="3"/>
        <v>3</v>
      </c>
      <c r="D91" s="5" t="s">
        <v>19</v>
      </c>
      <c r="E91" s="6" t="s">
        <v>21</v>
      </c>
      <c r="F91" s="6" t="s">
        <v>6</v>
      </c>
      <c r="G91" s="6" t="s">
        <v>22</v>
      </c>
      <c r="H91" s="6">
        <v>7</v>
      </c>
      <c r="I91" s="33">
        <v>733.48</v>
      </c>
      <c r="J91" s="36">
        <v>5134.3599999999997</v>
      </c>
      <c r="M91" s="39"/>
      <c r="R91" s="38"/>
    </row>
    <row r="92" spans="1:18" x14ac:dyDescent="0.2">
      <c r="A92" s="12">
        <v>45748</v>
      </c>
      <c r="B92" s="4">
        <f t="shared" si="2"/>
        <v>2025</v>
      </c>
      <c r="C92" s="4">
        <f t="shared" si="3"/>
        <v>4</v>
      </c>
      <c r="D92" s="5" t="s">
        <v>11</v>
      </c>
      <c r="E92" s="6" t="s">
        <v>5</v>
      </c>
      <c r="F92" s="6" t="s">
        <v>33</v>
      </c>
      <c r="G92" s="6" t="s">
        <v>7</v>
      </c>
      <c r="H92" s="6">
        <v>5</v>
      </c>
      <c r="I92" s="33">
        <v>526.96</v>
      </c>
      <c r="J92" s="36">
        <v>2634.8</v>
      </c>
      <c r="M92" s="39"/>
      <c r="R92" s="38"/>
    </row>
    <row r="93" spans="1:18" x14ac:dyDescent="0.2">
      <c r="A93" s="12">
        <v>45749</v>
      </c>
      <c r="B93" s="4">
        <f t="shared" si="2"/>
        <v>2025</v>
      </c>
      <c r="C93" s="4">
        <f t="shared" si="3"/>
        <v>4</v>
      </c>
      <c r="D93" s="5" t="s">
        <v>11</v>
      </c>
      <c r="E93" s="6" t="s">
        <v>26</v>
      </c>
      <c r="F93" s="6" t="s">
        <v>38</v>
      </c>
      <c r="G93" s="6" t="s">
        <v>30</v>
      </c>
      <c r="H93" s="6">
        <v>9</v>
      </c>
      <c r="I93" s="33">
        <v>1131.6500000000001</v>
      </c>
      <c r="J93" s="36">
        <v>10184.85</v>
      </c>
      <c r="M93" s="39"/>
      <c r="R93" s="38"/>
    </row>
    <row r="94" spans="1:18" x14ac:dyDescent="0.2">
      <c r="A94" s="12">
        <v>45750</v>
      </c>
      <c r="B94" s="4">
        <f t="shared" si="2"/>
        <v>2025</v>
      </c>
      <c r="C94" s="4">
        <f t="shared" si="3"/>
        <v>4</v>
      </c>
      <c r="D94" s="5" t="s">
        <v>8</v>
      </c>
      <c r="E94" s="6" t="s">
        <v>12</v>
      </c>
      <c r="F94" s="6" t="s">
        <v>38</v>
      </c>
      <c r="G94" s="6" t="s">
        <v>14</v>
      </c>
      <c r="H94" s="6">
        <v>6</v>
      </c>
      <c r="I94" s="33">
        <v>328.21</v>
      </c>
      <c r="J94" s="36">
        <v>1969.26</v>
      </c>
      <c r="M94" s="39"/>
      <c r="R94" s="38"/>
    </row>
    <row r="95" spans="1:18" x14ac:dyDescent="0.2">
      <c r="A95" s="12">
        <v>45751</v>
      </c>
      <c r="B95" s="4">
        <f t="shared" si="2"/>
        <v>2025</v>
      </c>
      <c r="C95" s="4">
        <f t="shared" si="3"/>
        <v>4</v>
      </c>
      <c r="D95" s="5" t="s">
        <v>19</v>
      </c>
      <c r="E95" s="6" t="s">
        <v>9</v>
      </c>
      <c r="F95" s="6" t="s">
        <v>38</v>
      </c>
      <c r="G95" s="6" t="s">
        <v>41</v>
      </c>
      <c r="H95" s="6">
        <v>2</v>
      </c>
      <c r="I95" s="33">
        <v>373.38</v>
      </c>
      <c r="J95" s="36">
        <v>746.76</v>
      </c>
      <c r="M95" s="39"/>
      <c r="R95" s="38"/>
    </row>
    <row r="96" spans="1:18" x14ac:dyDescent="0.2">
      <c r="A96" s="12">
        <v>45752</v>
      </c>
      <c r="B96" s="4">
        <f t="shared" si="2"/>
        <v>2025</v>
      </c>
      <c r="C96" s="4">
        <f t="shared" si="3"/>
        <v>4</v>
      </c>
      <c r="D96" s="5" t="s">
        <v>19</v>
      </c>
      <c r="E96" s="6" t="s">
        <v>1</v>
      </c>
      <c r="F96" s="6" t="s">
        <v>6</v>
      </c>
      <c r="G96" s="6" t="s">
        <v>25</v>
      </c>
      <c r="H96" s="6">
        <v>1</v>
      </c>
      <c r="I96" s="33">
        <v>380.68</v>
      </c>
      <c r="J96" s="36">
        <v>380.68</v>
      </c>
      <c r="M96" s="39"/>
      <c r="R96" s="38"/>
    </row>
    <row r="97" spans="1:18" x14ac:dyDescent="0.2">
      <c r="A97" s="12">
        <v>45753</v>
      </c>
      <c r="B97" s="4">
        <f t="shared" si="2"/>
        <v>2025</v>
      </c>
      <c r="C97" s="4">
        <f t="shared" si="3"/>
        <v>4</v>
      </c>
      <c r="D97" s="5" t="s">
        <v>8</v>
      </c>
      <c r="E97" s="6" t="s">
        <v>5</v>
      </c>
      <c r="F97" s="6" t="s">
        <v>13</v>
      </c>
      <c r="G97" s="6" t="s">
        <v>29</v>
      </c>
      <c r="H97" s="6">
        <v>2</v>
      </c>
      <c r="I97" s="33">
        <v>1461.64</v>
      </c>
      <c r="J97" s="36">
        <v>2923.28</v>
      </c>
      <c r="M97" s="39"/>
      <c r="R97" s="38"/>
    </row>
    <row r="98" spans="1:18" x14ac:dyDescent="0.2">
      <c r="A98" s="12">
        <v>45754</v>
      </c>
      <c r="B98" s="4">
        <f t="shared" si="2"/>
        <v>2025</v>
      </c>
      <c r="C98" s="4">
        <f t="shared" si="3"/>
        <v>4</v>
      </c>
      <c r="D98" s="5" t="s">
        <v>19</v>
      </c>
      <c r="E98" s="6" t="s">
        <v>21</v>
      </c>
      <c r="F98" s="6" t="s">
        <v>33</v>
      </c>
      <c r="G98" s="6" t="s">
        <v>46</v>
      </c>
      <c r="H98" s="6">
        <v>1</v>
      </c>
      <c r="I98" s="33">
        <v>1304.1099999999999</v>
      </c>
      <c r="J98" s="36">
        <v>1304.1099999999999</v>
      </c>
      <c r="M98" s="39"/>
      <c r="R98" s="38"/>
    </row>
    <row r="99" spans="1:18" x14ac:dyDescent="0.2">
      <c r="A99" s="12">
        <v>45755</v>
      </c>
      <c r="B99" s="4">
        <f t="shared" si="2"/>
        <v>2025</v>
      </c>
      <c r="C99" s="4">
        <f t="shared" si="3"/>
        <v>4</v>
      </c>
      <c r="D99" s="5" t="s">
        <v>19</v>
      </c>
      <c r="E99" s="6" t="s">
        <v>12</v>
      </c>
      <c r="F99" s="6" t="s">
        <v>38</v>
      </c>
      <c r="G99" s="6" t="s">
        <v>14</v>
      </c>
      <c r="H99" s="6">
        <v>4</v>
      </c>
      <c r="I99" s="33">
        <v>242.72</v>
      </c>
      <c r="J99" s="36">
        <v>970.88</v>
      </c>
      <c r="M99" s="39"/>
      <c r="R99" s="38"/>
    </row>
    <row r="100" spans="1:18" x14ac:dyDescent="0.2">
      <c r="A100" s="12">
        <v>45756</v>
      </c>
      <c r="B100" s="4">
        <f t="shared" si="2"/>
        <v>2025</v>
      </c>
      <c r="C100" s="4">
        <f t="shared" si="3"/>
        <v>4</v>
      </c>
      <c r="D100" s="5" t="s">
        <v>19</v>
      </c>
      <c r="E100" s="6" t="s">
        <v>1</v>
      </c>
      <c r="F100" s="6" t="s">
        <v>35</v>
      </c>
      <c r="G100" s="6" t="s">
        <v>3</v>
      </c>
      <c r="H100" s="6">
        <v>8</v>
      </c>
      <c r="I100" s="33">
        <v>1099.96</v>
      </c>
      <c r="J100" s="36">
        <v>8799.68</v>
      </c>
      <c r="M100" s="39"/>
      <c r="R100" s="38"/>
    </row>
    <row r="101" spans="1:18" x14ac:dyDescent="0.2">
      <c r="A101" s="12">
        <v>45757</v>
      </c>
      <c r="B101" s="4">
        <f t="shared" si="2"/>
        <v>2025</v>
      </c>
      <c r="C101" s="4">
        <f t="shared" si="3"/>
        <v>4</v>
      </c>
      <c r="D101" s="5" t="s">
        <v>0</v>
      </c>
      <c r="E101" s="6" t="s">
        <v>1</v>
      </c>
      <c r="F101" s="6" t="s">
        <v>13</v>
      </c>
      <c r="G101" s="6" t="s">
        <v>24</v>
      </c>
      <c r="H101" s="6">
        <v>4</v>
      </c>
      <c r="I101" s="33">
        <v>1253.25</v>
      </c>
      <c r="J101" s="36">
        <v>5013</v>
      </c>
      <c r="M101" s="39"/>
      <c r="R101" s="38"/>
    </row>
    <row r="102" spans="1:18" x14ac:dyDescent="0.2">
      <c r="A102" s="12">
        <v>45758</v>
      </c>
      <c r="B102" s="4">
        <f t="shared" si="2"/>
        <v>2025</v>
      </c>
      <c r="C102" s="4">
        <f t="shared" si="3"/>
        <v>4</v>
      </c>
      <c r="D102" s="5" t="s">
        <v>8</v>
      </c>
      <c r="E102" s="6" t="s">
        <v>21</v>
      </c>
      <c r="F102" s="6" t="s">
        <v>13</v>
      </c>
      <c r="G102" s="6" t="s">
        <v>22</v>
      </c>
      <c r="H102" s="6">
        <v>3</v>
      </c>
      <c r="I102" s="33">
        <v>1019.2</v>
      </c>
      <c r="J102" s="36">
        <v>3057.6</v>
      </c>
      <c r="M102" s="39"/>
      <c r="R102" s="38"/>
    </row>
    <row r="103" spans="1:18" x14ac:dyDescent="0.2">
      <c r="A103" s="12">
        <v>45759</v>
      </c>
      <c r="B103" s="4">
        <f t="shared" si="2"/>
        <v>2025</v>
      </c>
      <c r="C103" s="4">
        <f t="shared" si="3"/>
        <v>4</v>
      </c>
      <c r="D103" s="5" t="s">
        <v>8</v>
      </c>
      <c r="E103" s="6" t="s">
        <v>21</v>
      </c>
      <c r="F103" s="6" t="s">
        <v>2</v>
      </c>
      <c r="G103" s="6" t="s">
        <v>42</v>
      </c>
      <c r="H103" s="6">
        <v>5</v>
      </c>
      <c r="I103" s="33">
        <v>626.76</v>
      </c>
      <c r="J103" s="36">
        <v>3133.8</v>
      </c>
      <c r="M103" s="39"/>
      <c r="R103" s="38"/>
    </row>
    <row r="104" spans="1:18" x14ac:dyDescent="0.2">
      <c r="A104" s="12">
        <v>45760</v>
      </c>
      <c r="B104" s="4">
        <f t="shared" si="2"/>
        <v>2025</v>
      </c>
      <c r="C104" s="4">
        <f t="shared" si="3"/>
        <v>4</v>
      </c>
      <c r="D104" s="5" t="s">
        <v>11</v>
      </c>
      <c r="E104" s="6" t="s">
        <v>9</v>
      </c>
      <c r="F104" s="6" t="s">
        <v>2</v>
      </c>
      <c r="G104" s="6" t="s">
        <v>18</v>
      </c>
      <c r="H104" s="6">
        <v>1</v>
      </c>
      <c r="I104" s="33">
        <v>121.12</v>
      </c>
      <c r="J104" s="36">
        <v>121.12</v>
      </c>
      <c r="M104" s="39"/>
      <c r="R104" s="38"/>
    </row>
    <row r="105" spans="1:18" x14ac:dyDescent="0.2">
      <c r="A105" s="12">
        <v>45761</v>
      </c>
      <c r="B105" s="4">
        <f t="shared" si="2"/>
        <v>2025</v>
      </c>
      <c r="C105" s="4">
        <f t="shared" si="3"/>
        <v>4</v>
      </c>
      <c r="D105" s="5" t="s">
        <v>0</v>
      </c>
      <c r="E105" s="6" t="s">
        <v>26</v>
      </c>
      <c r="F105" s="6" t="s">
        <v>35</v>
      </c>
      <c r="G105" s="6" t="s">
        <v>39</v>
      </c>
      <c r="H105" s="6">
        <v>4</v>
      </c>
      <c r="I105" s="33">
        <v>1385.47</v>
      </c>
      <c r="J105" s="36">
        <v>5541.88</v>
      </c>
      <c r="M105" s="39"/>
      <c r="R105" s="38"/>
    </row>
    <row r="106" spans="1:18" x14ac:dyDescent="0.2">
      <c r="A106" s="12">
        <v>45762</v>
      </c>
      <c r="B106" s="4">
        <f t="shared" si="2"/>
        <v>2025</v>
      </c>
      <c r="C106" s="4">
        <f t="shared" si="3"/>
        <v>4</v>
      </c>
      <c r="D106" s="5" t="s">
        <v>11</v>
      </c>
      <c r="E106" s="6" t="s">
        <v>12</v>
      </c>
      <c r="F106" s="6" t="s">
        <v>35</v>
      </c>
      <c r="G106" s="6" t="s">
        <v>44</v>
      </c>
      <c r="H106" s="6">
        <v>10</v>
      </c>
      <c r="I106" s="33">
        <v>437.48</v>
      </c>
      <c r="J106" s="36">
        <v>4374.8</v>
      </c>
      <c r="M106" s="39"/>
      <c r="R106" s="38"/>
    </row>
    <row r="107" spans="1:18" x14ac:dyDescent="0.2">
      <c r="A107" s="12">
        <v>45763</v>
      </c>
      <c r="B107" s="4">
        <f t="shared" si="2"/>
        <v>2025</v>
      </c>
      <c r="C107" s="4">
        <f t="shared" si="3"/>
        <v>4</v>
      </c>
      <c r="D107" s="5" t="s">
        <v>0</v>
      </c>
      <c r="E107" s="6" t="s">
        <v>12</v>
      </c>
      <c r="F107" s="6" t="s">
        <v>16</v>
      </c>
      <c r="G107" s="6" t="s">
        <v>20</v>
      </c>
      <c r="H107" s="6">
        <v>7</v>
      </c>
      <c r="I107" s="33">
        <v>55.81</v>
      </c>
      <c r="J107" s="36">
        <v>390.67</v>
      </c>
      <c r="M107" s="39"/>
      <c r="R107" s="38"/>
    </row>
    <row r="108" spans="1:18" x14ac:dyDescent="0.2">
      <c r="A108" s="12">
        <v>45764</v>
      </c>
      <c r="B108" s="4">
        <f t="shared" si="2"/>
        <v>2025</v>
      </c>
      <c r="C108" s="4">
        <f t="shared" si="3"/>
        <v>4</v>
      </c>
      <c r="D108" s="5" t="s">
        <v>4</v>
      </c>
      <c r="E108" s="6" t="s">
        <v>12</v>
      </c>
      <c r="F108" s="6" t="s">
        <v>6</v>
      </c>
      <c r="G108" s="6" t="s">
        <v>20</v>
      </c>
      <c r="H108" s="6">
        <v>8</v>
      </c>
      <c r="I108" s="33">
        <v>518.47</v>
      </c>
      <c r="J108" s="36">
        <v>4147.76</v>
      </c>
      <c r="M108" s="39"/>
      <c r="R108" s="38"/>
    </row>
    <row r="109" spans="1:18" x14ac:dyDescent="0.2">
      <c r="A109" s="12">
        <v>45765</v>
      </c>
      <c r="B109" s="4">
        <f t="shared" si="2"/>
        <v>2025</v>
      </c>
      <c r="C109" s="4">
        <f t="shared" si="3"/>
        <v>4</v>
      </c>
      <c r="D109" s="5" t="s">
        <v>8</v>
      </c>
      <c r="E109" s="6" t="s">
        <v>9</v>
      </c>
      <c r="F109" s="6" t="s">
        <v>38</v>
      </c>
      <c r="G109" s="6" t="s">
        <v>41</v>
      </c>
      <c r="H109" s="6">
        <v>5</v>
      </c>
      <c r="I109" s="33">
        <v>620.61</v>
      </c>
      <c r="J109" s="36">
        <v>3103.05</v>
      </c>
      <c r="M109" s="39"/>
      <c r="R109" s="38"/>
    </row>
    <row r="110" spans="1:18" x14ac:dyDescent="0.2">
      <c r="A110" s="12">
        <v>45766</v>
      </c>
      <c r="B110" s="4">
        <f t="shared" si="2"/>
        <v>2025</v>
      </c>
      <c r="C110" s="4">
        <f t="shared" si="3"/>
        <v>4</v>
      </c>
      <c r="D110" s="5" t="s">
        <v>8</v>
      </c>
      <c r="E110" s="6" t="s">
        <v>26</v>
      </c>
      <c r="F110" s="6" t="s">
        <v>13</v>
      </c>
      <c r="G110" s="6" t="s">
        <v>30</v>
      </c>
      <c r="H110" s="6">
        <v>10</v>
      </c>
      <c r="I110" s="33">
        <v>188.31</v>
      </c>
      <c r="J110" s="36">
        <v>1883.1</v>
      </c>
      <c r="M110" s="39"/>
      <c r="R110" s="38"/>
    </row>
    <row r="111" spans="1:18" x14ac:dyDescent="0.2">
      <c r="A111" s="12">
        <v>45767</v>
      </c>
      <c r="B111" s="4">
        <f t="shared" si="2"/>
        <v>2025</v>
      </c>
      <c r="C111" s="4">
        <f t="shared" si="3"/>
        <v>4</v>
      </c>
      <c r="D111" s="5" t="s">
        <v>4</v>
      </c>
      <c r="E111" s="6" t="s">
        <v>21</v>
      </c>
      <c r="F111" s="6" t="s">
        <v>13</v>
      </c>
      <c r="G111" s="6" t="s">
        <v>28</v>
      </c>
      <c r="H111" s="6">
        <v>4</v>
      </c>
      <c r="I111" s="33">
        <v>1246.4000000000001</v>
      </c>
      <c r="J111" s="36">
        <v>4985.6000000000004</v>
      </c>
      <c r="M111" s="39"/>
      <c r="R111" s="38"/>
    </row>
    <row r="112" spans="1:18" x14ac:dyDescent="0.2">
      <c r="A112" s="12">
        <v>45768</v>
      </c>
      <c r="B112" s="4">
        <f t="shared" si="2"/>
        <v>2025</v>
      </c>
      <c r="C112" s="4">
        <f t="shared" si="3"/>
        <v>4</v>
      </c>
      <c r="D112" s="5" t="s">
        <v>0</v>
      </c>
      <c r="E112" s="6" t="s">
        <v>21</v>
      </c>
      <c r="F112" s="6" t="s">
        <v>33</v>
      </c>
      <c r="G112" s="6" t="s">
        <v>42</v>
      </c>
      <c r="H112" s="6">
        <v>8</v>
      </c>
      <c r="I112" s="33">
        <v>447.35</v>
      </c>
      <c r="J112" s="36">
        <v>3578.8</v>
      </c>
      <c r="M112" s="39"/>
      <c r="R112" s="38"/>
    </row>
    <row r="113" spans="1:18" x14ac:dyDescent="0.2">
      <c r="A113" s="12">
        <v>45769</v>
      </c>
      <c r="B113" s="4">
        <f t="shared" si="2"/>
        <v>2025</v>
      </c>
      <c r="C113" s="4">
        <f t="shared" si="3"/>
        <v>4</v>
      </c>
      <c r="D113" s="5" t="s">
        <v>0</v>
      </c>
      <c r="E113" s="6" t="s">
        <v>9</v>
      </c>
      <c r="F113" s="6" t="s">
        <v>6</v>
      </c>
      <c r="G113" s="6" t="s">
        <v>17</v>
      </c>
      <c r="H113" s="6">
        <v>8</v>
      </c>
      <c r="I113" s="33">
        <v>521.35</v>
      </c>
      <c r="J113" s="36">
        <v>4170.8</v>
      </c>
      <c r="M113" s="39"/>
      <c r="R113" s="38"/>
    </row>
    <row r="114" spans="1:18" x14ac:dyDescent="0.2">
      <c r="A114" s="12">
        <v>45770</v>
      </c>
      <c r="B114" s="4">
        <f t="shared" si="2"/>
        <v>2025</v>
      </c>
      <c r="C114" s="4">
        <f t="shared" si="3"/>
        <v>4</v>
      </c>
      <c r="D114" s="5" t="s">
        <v>4</v>
      </c>
      <c r="E114" s="6" t="s">
        <v>1</v>
      </c>
      <c r="F114" s="6" t="s">
        <v>38</v>
      </c>
      <c r="G114" s="6" t="s">
        <v>3</v>
      </c>
      <c r="H114" s="6">
        <v>3</v>
      </c>
      <c r="I114" s="33">
        <v>522.1</v>
      </c>
      <c r="J114" s="36">
        <v>1566.3</v>
      </c>
      <c r="M114" s="39"/>
      <c r="R114" s="38"/>
    </row>
    <row r="115" spans="1:18" x14ac:dyDescent="0.2">
      <c r="A115" s="12">
        <v>45771</v>
      </c>
      <c r="B115" s="4">
        <f t="shared" si="2"/>
        <v>2025</v>
      </c>
      <c r="C115" s="4">
        <f t="shared" si="3"/>
        <v>4</v>
      </c>
      <c r="D115" s="5" t="s">
        <v>8</v>
      </c>
      <c r="E115" s="6" t="s">
        <v>21</v>
      </c>
      <c r="F115" s="6" t="s">
        <v>35</v>
      </c>
      <c r="G115" s="6" t="s">
        <v>42</v>
      </c>
      <c r="H115" s="6">
        <v>2</v>
      </c>
      <c r="I115" s="33">
        <v>893.07</v>
      </c>
      <c r="J115" s="36">
        <v>1786.14</v>
      </c>
      <c r="M115" s="39"/>
      <c r="R115" s="38"/>
    </row>
    <row r="116" spans="1:18" x14ac:dyDescent="0.2">
      <c r="A116" s="12">
        <v>45772</v>
      </c>
      <c r="B116" s="4">
        <f t="shared" si="2"/>
        <v>2025</v>
      </c>
      <c r="C116" s="4">
        <f t="shared" si="3"/>
        <v>4</v>
      </c>
      <c r="D116" s="5" t="s">
        <v>0</v>
      </c>
      <c r="E116" s="6" t="s">
        <v>1</v>
      </c>
      <c r="F116" s="6" t="s">
        <v>6</v>
      </c>
      <c r="G116" s="6" t="s">
        <v>24</v>
      </c>
      <c r="H116" s="6">
        <v>3</v>
      </c>
      <c r="I116" s="33">
        <v>950.52</v>
      </c>
      <c r="J116" s="36">
        <v>2851.56</v>
      </c>
      <c r="M116" s="39"/>
      <c r="R116" s="38"/>
    </row>
    <row r="117" spans="1:18" x14ac:dyDescent="0.2">
      <c r="A117" s="12">
        <v>45773</v>
      </c>
      <c r="B117" s="4">
        <f t="shared" si="2"/>
        <v>2025</v>
      </c>
      <c r="C117" s="4">
        <f t="shared" si="3"/>
        <v>4</v>
      </c>
      <c r="D117" s="5" t="s">
        <v>0</v>
      </c>
      <c r="E117" s="6" t="s">
        <v>9</v>
      </c>
      <c r="F117" s="6" t="s">
        <v>35</v>
      </c>
      <c r="G117" s="6" t="s">
        <v>17</v>
      </c>
      <c r="H117" s="6">
        <v>3</v>
      </c>
      <c r="I117" s="33">
        <v>1128.8699999999999</v>
      </c>
      <c r="J117" s="36">
        <v>3386.61</v>
      </c>
      <c r="M117" s="39"/>
      <c r="R117" s="38"/>
    </row>
    <row r="118" spans="1:18" x14ac:dyDescent="0.2">
      <c r="A118" s="12">
        <v>45774</v>
      </c>
      <c r="B118" s="4">
        <f t="shared" si="2"/>
        <v>2025</v>
      </c>
      <c r="C118" s="4">
        <f t="shared" si="3"/>
        <v>4</v>
      </c>
      <c r="D118" s="5" t="s">
        <v>0</v>
      </c>
      <c r="E118" s="6" t="s">
        <v>21</v>
      </c>
      <c r="F118" s="6" t="s">
        <v>6</v>
      </c>
      <c r="G118" s="6" t="s">
        <v>28</v>
      </c>
      <c r="H118" s="6">
        <v>1</v>
      </c>
      <c r="I118" s="33">
        <v>1370.4</v>
      </c>
      <c r="J118" s="36">
        <v>1370.4</v>
      </c>
      <c r="M118" s="39"/>
      <c r="R118" s="38"/>
    </row>
    <row r="119" spans="1:18" x14ac:dyDescent="0.2">
      <c r="A119" s="12">
        <v>45775</v>
      </c>
      <c r="B119" s="4">
        <f t="shared" si="2"/>
        <v>2025</v>
      </c>
      <c r="C119" s="4">
        <f t="shared" si="3"/>
        <v>4</v>
      </c>
      <c r="D119" s="5" t="s">
        <v>0</v>
      </c>
      <c r="E119" s="6" t="s">
        <v>26</v>
      </c>
      <c r="F119" s="6" t="s">
        <v>2</v>
      </c>
      <c r="G119" s="6" t="s">
        <v>30</v>
      </c>
      <c r="H119" s="6">
        <v>5</v>
      </c>
      <c r="I119" s="33">
        <v>1299.03</v>
      </c>
      <c r="J119" s="36">
        <v>6495.15</v>
      </c>
      <c r="M119" s="39"/>
      <c r="R119" s="38"/>
    </row>
    <row r="120" spans="1:18" x14ac:dyDescent="0.2">
      <c r="A120" s="12">
        <v>45776</v>
      </c>
      <c r="B120" s="4">
        <f t="shared" si="2"/>
        <v>2025</v>
      </c>
      <c r="C120" s="4">
        <f t="shared" si="3"/>
        <v>4</v>
      </c>
      <c r="D120" s="5" t="s">
        <v>11</v>
      </c>
      <c r="E120" s="6" t="s">
        <v>1</v>
      </c>
      <c r="F120" s="6" t="s">
        <v>35</v>
      </c>
      <c r="G120" s="6" t="s">
        <v>25</v>
      </c>
      <c r="H120" s="6">
        <v>1</v>
      </c>
      <c r="I120" s="33">
        <v>221.11</v>
      </c>
      <c r="J120" s="36">
        <v>221.11</v>
      </c>
      <c r="M120" s="39"/>
      <c r="R120" s="38"/>
    </row>
    <row r="121" spans="1:18" x14ac:dyDescent="0.2">
      <c r="A121" s="12">
        <v>45777</v>
      </c>
      <c r="B121" s="4">
        <f t="shared" si="2"/>
        <v>2025</v>
      </c>
      <c r="C121" s="4">
        <f t="shared" si="3"/>
        <v>4</v>
      </c>
      <c r="D121" s="5" t="s">
        <v>19</v>
      </c>
      <c r="E121" s="6" t="s">
        <v>1</v>
      </c>
      <c r="F121" s="6" t="s">
        <v>16</v>
      </c>
      <c r="G121" s="6" t="s">
        <v>3</v>
      </c>
      <c r="H121" s="6">
        <v>10</v>
      </c>
      <c r="I121" s="33">
        <v>1124</v>
      </c>
      <c r="J121" s="36">
        <v>11240</v>
      </c>
      <c r="M121" s="39"/>
      <c r="R121" s="38"/>
    </row>
    <row r="122" spans="1:18" x14ac:dyDescent="0.2">
      <c r="A122" s="12">
        <v>45778</v>
      </c>
      <c r="B122" s="4">
        <f t="shared" si="2"/>
        <v>2025</v>
      </c>
      <c r="C122" s="4">
        <f t="shared" si="3"/>
        <v>5</v>
      </c>
      <c r="D122" s="5" t="s">
        <v>4</v>
      </c>
      <c r="E122" s="6" t="s">
        <v>26</v>
      </c>
      <c r="F122" s="6" t="s">
        <v>16</v>
      </c>
      <c r="G122" s="6" t="s">
        <v>39</v>
      </c>
      <c r="H122" s="6">
        <v>1</v>
      </c>
      <c r="I122" s="33">
        <v>852.51</v>
      </c>
      <c r="J122" s="36">
        <v>852.51</v>
      </c>
      <c r="M122" s="39"/>
      <c r="R122" s="38"/>
    </row>
    <row r="123" spans="1:18" x14ac:dyDescent="0.2">
      <c r="A123" s="12">
        <v>45779</v>
      </c>
      <c r="B123" s="4">
        <f t="shared" si="2"/>
        <v>2025</v>
      </c>
      <c r="C123" s="4">
        <f t="shared" si="3"/>
        <v>5</v>
      </c>
      <c r="D123" s="5" t="s">
        <v>0</v>
      </c>
      <c r="E123" s="6" t="s">
        <v>21</v>
      </c>
      <c r="F123" s="6" t="s">
        <v>13</v>
      </c>
      <c r="G123" s="6" t="s">
        <v>42</v>
      </c>
      <c r="H123" s="6">
        <v>10</v>
      </c>
      <c r="I123" s="33">
        <v>1053.3</v>
      </c>
      <c r="J123" s="36">
        <v>10533</v>
      </c>
      <c r="M123" s="39"/>
      <c r="R123" s="38"/>
    </row>
    <row r="124" spans="1:18" x14ac:dyDescent="0.2">
      <c r="A124" s="12">
        <v>45780</v>
      </c>
      <c r="B124" s="4">
        <f t="shared" si="2"/>
        <v>2025</v>
      </c>
      <c r="C124" s="4">
        <f t="shared" si="3"/>
        <v>5</v>
      </c>
      <c r="D124" s="5" t="s">
        <v>11</v>
      </c>
      <c r="E124" s="6" t="s">
        <v>9</v>
      </c>
      <c r="F124" s="6" t="s">
        <v>38</v>
      </c>
      <c r="G124" s="6" t="s">
        <v>17</v>
      </c>
      <c r="H124" s="6">
        <v>5</v>
      </c>
      <c r="I124" s="33">
        <v>1146.79</v>
      </c>
      <c r="J124" s="36">
        <v>5733.95</v>
      </c>
      <c r="M124" s="39"/>
      <c r="R124" s="38"/>
    </row>
    <row r="125" spans="1:18" x14ac:dyDescent="0.2">
      <c r="A125" s="12">
        <v>45781</v>
      </c>
      <c r="B125" s="4">
        <f t="shared" si="2"/>
        <v>2025</v>
      </c>
      <c r="C125" s="4">
        <f t="shared" si="3"/>
        <v>5</v>
      </c>
      <c r="D125" s="5" t="s">
        <v>4</v>
      </c>
      <c r="E125" s="6" t="s">
        <v>21</v>
      </c>
      <c r="F125" s="6" t="s">
        <v>16</v>
      </c>
      <c r="G125" s="6" t="s">
        <v>42</v>
      </c>
      <c r="H125" s="6">
        <v>9</v>
      </c>
      <c r="I125" s="33">
        <v>699.9</v>
      </c>
      <c r="J125" s="36">
        <v>6299.1</v>
      </c>
      <c r="M125" s="39"/>
      <c r="R125" s="38"/>
    </row>
    <row r="126" spans="1:18" x14ac:dyDescent="0.2">
      <c r="A126" s="12">
        <v>45782</v>
      </c>
      <c r="B126" s="4">
        <f t="shared" si="2"/>
        <v>2025</v>
      </c>
      <c r="C126" s="4">
        <f t="shared" si="3"/>
        <v>5</v>
      </c>
      <c r="D126" s="5" t="s">
        <v>0</v>
      </c>
      <c r="E126" s="6" t="s">
        <v>9</v>
      </c>
      <c r="F126" s="6" t="s">
        <v>38</v>
      </c>
      <c r="G126" s="6" t="s">
        <v>40</v>
      </c>
      <c r="H126" s="6">
        <v>2</v>
      </c>
      <c r="I126" s="33">
        <v>244.6</v>
      </c>
      <c r="J126" s="36">
        <v>489.2</v>
      </c>
      <c r="M126" s="39"/>
      <c r="R126" s="38"/>
    </row>
    <row r="127" spans="1:18" x14ac:dyDescent="0.2">
      <c r="A127" s="12">
        <v>45783</v>
      </c>
      <c r="B127" s="4">
        <f t="shared" si="2"/>
        <v>2025</v>
      </c>
      <c r="C127" s="4">
        <f t="shared" si="3"/>
        <v>5</v>
      </c>
      <c r="D127" s="5" t="s">
        <v>8</v>
      </c>
      <c r="E127" s="6" t="s">
        <v>9</v>
      </c>
      <c r="F127" s="6" t="s">
        <v>35</v>
      </c>
      <c r="G127" s="6" t="s">
        <v>40</v>
      </c>
      <c r="H127" s="6">
        <v>5</v>
      </c>
      <c r="I127" s="33">
        <v>413.19</v>
      </c>
      <c r="J127" s="36">
        <v>2065.9499999999998</v>
      </c>
      <c r="M127" s="39"/>
      <c r="R127" s="38"/>
    </row>
    <row r="128" spans="1:18" x14ac:dyDescent="0.2">
      <c r="A128" s="12">
        <v>45784</v>
      </c>
      <c r="B128" s="4">
        <f t="shared" si="2"/>
        <v>2025</v>
      </c>
      <c r="C128" s="4">
        <f t="shared" si="3"/>
        <v>5</v>
      </c>
      <c r="D128" s="5" t="s">
        <v>11</v>
      </c>
      <c r="E128" s="6" t="s">
        <v>26</v>
      </c>
      <c r="F128" s="6" t="s">
        <v>35</v>
      </c>
      <c r="G128" s="6" t="s">
        <v>47</v>
      </c>
      <c r="H128" s="6">
        <v>3</v>
      </c>
      <c r="I128" s="33">
        <v>242.75</v>
      </c>
      <c r="J128" s="36">
        <v>728.25</v>
      </c>
      <c r="M128" s="39"/>
      <c r="R128" s="38"/>
    </row>
    <row r="129" spans="1:18" x14ac:dyDescent="0.2">
      <c r="A129" s="12">
        <v>45785</v>
      </c>
      <c r="B129" s="4">
        <f t="shared" si="2"/>
        <v>2025</v>
      </c>
      <c r="C129" s="4">
        <f t="shared" si="3"/>
        <v>5</v>
      </c>
      <c r="D129" s="5" t="s">
        <v>19</v>
      </c>
      <c r="E129" s="6" t="s">
        <v>12</v>
      </c>
      <c r="F129" s="6" t="s">
        <v>16</v>
      </c>
      <c r="G129" s="6" t="s">
        <v>45</v>
      </c>
      <c r="H129" s="6">
        <v>6</v>
      </c>
      <c r="I129" s="33">
        <v>415.84</v>
      </c>
      <c r="J129" s="36">
        <v>2495.04</v>
      </c>
      <c r="M129" s="39"/>
      <c r="R129" s="38"/>
    </row>
    <row r="130" spans="1:18" x14ac:dyDescent="0.2">
      <c r="A130" s="12">
        <v>45786</v>
      </c>
      <c r="B130" s="4">
        <f t="shared" si="2"/>
        <v>2025</v>
      </c>
      <c r="C130" s="4">
        <f t="shared" si="3"/>
        <v>5</v>
      </c>
      <c r="D130" s="5" t="s">
        <v>19</v>
      </c>
      <c r="E130" s="6" t="s">
        <v>5</v>
      </c>
      <c r="F130" s="6" t="s">
        <v>13</v>
      </c>
      <c r="G130" s="6" t="s">
        <v>29</v>
      </c>
      <c r="H130" s="6">
        <v>6</v>
      </c>
      <c r="I130" s="33">
        <v>272.99</v>
      </c>
      <c r="J130" s="36">
        <v>1637.94</v>
      </c>
      <c r="M130" s="39"/>
      <c r="R130" s="38"/>
    </row>
    <row r="131" spans="1:18" x14ac:dyDescent="0.2">
      <c r="A131" s="12">
        <v>45787</v>
      </c>
      <c r="B131" s="4">
        <f t="shared" ref="B131:B194" si="4">YEAR(A131)</f>
        <v>2025</v>
      </c>
      <c r="C131" s="4">
        <f t="shared" ref="C131:C194" si="5">MONTH(A131)</f>
        <v>5</v>
      </c>
      <c r="D131" s="5" t="s">
        <v>0</v>
      </c>
      <c r="E131" s="6" t="s">
        <v>12</v>
      </c>
      <c r="F131" s="6" t="s">
        <v>13</v>
      </c>
      <c r="G131" s="6" t="s">
        <v>20</v>
      </c>
      <c r="H131" s="6">
        <v>1</v>
      </c>
      <c r="I131" s="33">
        <v>333</v>
      </c>
      <c r="J131" s="36">
        <v>333</v>
      </c>
      <c r="M131" s="39"/>
      <c r="R131" s="38"/>
    </row>
    <row r="132" spans="1:18" x14ac:dyDescent="0.2">
      <c r="A132" s="12">
        <v>45788</v>
      </c>
      <c r="B132" s="4">
        <f t="shared" si="4"/>
        <v>2025</v>
      </c>
      <c r="C132" s="4">
        <f t="shared" si="5"/>
        <v>5</v>
      </c>
      <c r="D132" s="5" t="s">
        <v>0</v>
      </c>
      <c r="E132" s="6" t="s">
        <v>1</v>
      </c>
      <c r="F132" s="6" t="s">
        <v>13</v>
      </c>
      <c r="G132" s="6" t="s">
        <v>48</v>
      </c>
      <c r="H132" s="6">
        <v>1</v>
      </c>
      <c r="I132" s="33">
        <v>550.97</v>
      </c>
      <c r="J132" s="36">
        <v>550.97</v>
      </c>
      <c r="M132" s="39"/>
      <c r="R132" s="38"/>
    </row>
    <row r="133" spans="1:18" x14ac:dyDescent="0.2">
      <c r="A133" s="12">
        <v>45789</v>
      </c>
      <c r="B133" s="4">
        <f t="shared" si="4"/>
        <v>2025</v>
      </c>
      <c r="C133" s="4">
        <f t="shared" si="5"/>
        <v>5</v>
      </c>
      <c r="D133" s="5" t="s">
        <v>19</v>
      </c>
      <c r="E133" s="6" t="s">
        <v>5</v>
      </c>
      <c r="F133" s="6" t="s">
        <v>38</v>
      </c>
      <c r="G133" s="6" t="s">
        <v>7</v>
      </c>
      <c r="H133" s="6">
        <v>8</v>
      </c>
      <c r="I133" s="33">
        <v>1102.3499999999999</v>
      </c>
      <c r="J133" s="36">
        <v>8818.7999999999993</v>
      </c>
      <c r="M133" s="39"/>
      <c r="R133" s="38"/>
    </row>
    <row r="134" spans="1:18" x14ac:dyDescent="0.2">
      <c r="A134" s="12">
        <v>45790</v>
      </c>
      <c r="B134" s="4">
        <f t="shared" si="4"/>
        <v>2025</v>
      </c>
      <c r="C134" s="4">
        <f t="shared" si="5"/>
        <v>5</v>
      </c>
      <c r="D134" s="5" t="s">
        <v>19</v>
      </c>
      <c r="E134" s="6" t="s">
        <v>1</v>
      </c>
      <c r="F134" s="6" t="s">
        <v>35</v>
      </c>
      <c r="G134" s="6" t="s">
        <v>3</v>
      </c>
      <c r="H134" s="6">
        <v>6</v>
      </c>
      <c r="I134" s="33">
        <v>893.93</v>
      </c>
      <c r="J134" s="36">
        <v>5363.58</v>
      </c>
      <c r="M134" s="39"/>
      <c r="R134" s="38"/>
    </row>
    <row r="135" spans="1:18" x14ac:dyDescent="0.2">
      <c r="A135" s="12">
        <v>45791</v>
      </c>
      <c r="B135" s="4">
        <f t="shared" si="4"/>
        <v>2025</v>
      </c>
      <c r="C135" s="4">
        <f t="shared" si="5"/>
        <v>5</v>
      </c>
      <c r="D135" s="5" t="s">
        <v>4</v>
      </c>
      <c r="E135" s="6" t="s">
        <v>21</v>
      </c>
      <c r="F135" s="6" t="s">
        <v>6</v>
      </c>
      <c r="G135" s="6" t="s">
        <v>46</v>
      </c>
      <c r="H135" s="6">
        <v>3</v>
      </c>
      <c r="I135" s="33">
        <v>1419.71</v>
      </c>
      <c r="J135" s="36">
        <v>4259.13</v>
      </c>
      <c r="M135" s="39"/>
      <c r="R135" s="38"/>
    </row>
    <row r="136" spans="1:18" x14ac:dyDescent="0.2">
      <c r="A136" s="12">
        <v>45792</v>
      </c>
      <c r="B136" s="4">
        <f t="shared" si="4"/>
        <v>2025</v>
      </c>
      <c r="C136" s="4">
        <f t="shared" si="5"/>
        <v>5</v>
      </c>
      <c r="D136" s="5" t="s">
        <v>19</v>
      </c>
      <c r="E136" s="6" t="s">
        <v>26</v>
      </c>
      <c r="F136" s="6" t="s">
        <v>38</v>
      </c>
      <c r="G136" s="6" t="s">
        <v>27</v>
      </c>
      <c r="H136" s="6">
        <v>7</v>
      </c>
      <c r="I136" s="33">
        <v>799.18</v>
      </c>
      <c r="J136" s="36">
        <v>5594.26</v>
      </c>
      <c r="M136" s="39"/>
      <c r="R136" s="38"/>
    </row>
    <row r="137" spans="1:18" x14ac:dyDescent="0.2">
      <c r="A137" s="12">
        <v>45793</v>
      </c>
      <c r="B137" s="4">
        <f t="shared" si="4"/>
        <v>2025</v>
      </c>
      <c r="C137" s="4">
        <f t="shared" si="5"/>
        <v>5</v>
      </c>
      <c r="D137" s="5" t="s">
        <v>0</v>
      </c>
      <c r="E137" s="6" t="s">
        <v>1</v>
      </c>
      <c r="F137" s="6" t="s">
        <v>38</v>
      </c>
      <c r="G137" s="6" t="s">
        <v>48</v>
      </c>
      <c r="H137" s="6">
        <v>5</v>
      </c>
      <c r="I137" s="33">
        <v>1037.23</v>
      </c>
      <c r="J137" s="36">
        <v>5186.1499999999996</v>
      </c>
      <c r="M137" s="39"/>
      <c r="R137" s="38"/>
    </row>
    <row r="138" spans="1:18" x14ac:dyDescent="0.2">
      <c r="A138" s="12">
        <v>45794</v>
      </c>
      <c r="B138" s="4">
        <f t="shared" si="4"/>
        <v>2025</v>
      </c>
      <c r="C138" s="4">
        <f t="shared" si="5"/>
        <v>5</v>
      </c>
      <c r="D138" s="5" t="s">
        <v>11</v>
      </c>
      <c r="E138" s="6" t="s">
        <v>21</v>
      </c>
      <c r="F138" s="6" t="s">
        <v>35</v>
      </c>
      <c r="G138" s="6" t="s">
        <v>42</v>
      </c>
      <c r="H138" s="6">
        <v>5</v>
      </c>
      <c r="I138" s="33">
        <v>410.73</v>
      </c>
      <c r="J138" s="36">
        <v>2053.65</v>
      </c>
      <c r="M138" s="39"/>
      <c r="R138" s="38"/>
    </row>
    <row r="139" spans="1:18" x14ac:dyDescent="0.2">
      <c r="A139" s="12">
        <v>45795</v>
      </c>
      <c r="B139" s="4">
        <f t="shared" si="4"/>
        <v>2025</v>
      </c>
      <c r="C139" s="4">
        <f t="shared" si="5"/>
        <v>5</v>
      </c>
      <c r="D139" s="5" t="s">
        <v>4</v>
      </c>
      <c r="E139" s="6" t="s">
        <v>12</v>
      </c>
      <c r="F139" s="6" t="s">
        <v>35</v>
      </c>
      <c r="G139" s="6" t="s">
        <v>31</v>
      </c>
      <c r="H139" s="6">
        <v>5</v>
      </c>
      <c r="I139" s="33">
        <v>1103.42</v>
      </c>
      <c r="J139" s="36">
        <v>5517.1</v>
      </c>
      <c r="M139" s="39"/>
      <c r="R139" s="38"/>
    </row>
    <row r="140" spans="1:18" x14ac:dyDescent="0.2">
      <c r="A140" s="12">
        <v>45796</v>
      </c>
      <c r="B140" s="4">
        <f t="shared" si="4"/>
        <v>2025</v>
      </c>
      <c r="C140" s="4">
        <f t="shared" si="5"/>
        <v>5</v>
      </c>
      <c r="D140" s="5" t="s">
        <v>0</v>
      </c>
      <c r="E140" s="6" t="s">
        <v>21</v>
      </c>
      <c r="F140" s="6" t="s">
        <v>38</v>
      </c>
      <c r="G140" s="6" t="s">
        <v>28</v>
      </c>
      <c r="H140" s="6">
        <v>10</v>
      </c>
      <c r="I140" s="33">
        <v>901.73</v>
      </c>
      <c r="J140" s="36">
        <v>9017.2999999999993</v>
      </c>
      <c r="M140" s="39"/>
      <c r="R140" s="38"/>
    </row>
    <row r="141" spans="1:18" x14ac:dyDescent="0.2">
      <c r="A141" s="12">
        <v>45797</v>
      </c>
      <c r="B141" s="4">
        <f t="shared" si="4"/>
        <v>2025</v>
      </c>
      <c r="C141" s="4">
        <f t="shared" si="5"/>
        <v>5</v>
      </c>
      <c r="D141" s="5" t="s">
        <v>4</v>
      </c>
      <c r="E141" s="6" t="s">
        <v>5</v>
      </c>
      <c r="F141" s="6" t="s">
        <v>2</v>
      </c>
      <c r="G141" s="6" t="s">
        <v>15</v>
      </c>
      <c r="H141" s="6">
        <v>5</v>
      </c>
      <c r="I141" s="33">
        <v>1341.51</v>
      </c>
      <c r="J141" s="36">
        <v>6707.55</v>
      </c>
      <c r="M141" s="39"/>
      <c r="R141" s="38"/>
    </row>
    <row r="142" spans="1:18" x14ac:dyDescent="0.2">
      <c r="A142" s="12">
        <v>45798</v>
      </c>
      <c r="B142" s="4">
        <f t="shared" si="4"/>
        <v>2025</v>
      </c>
      <c r="C142" s="4">
        <f t="shared" si="5"/>
        <v>5</v>
      </c>
      <c r="D142" s="5" t="s">
        <v>0</v>
      </c>
      <c r="E142" s="6" t="s">
        <v>12</v>
      </c>
      <c r="F142" s="6" t="s">
        <v>38</v>
      </c>
      <c r="G142" s="6" t="s">
        <v>44</v>
      </c>
      <c r="H142" s="6">
        <v>4</v>
      </c>
      <c r="I142" s="33">
        <v>144.79</v>
      </c>
      <c r="J142" s="36">
        <v>579.16</v>
      </c>
      <c r="M142" s="39"/>
      <c r="R142" s="38"/>
    </row>
    <row r="143" spans="1:18" x14ac:dyDescent="0.2">
      <c r="A143" s="12">
        <v>45799</v>
      </c>
      <c r="B143" s="4">
        <f t="shared" si="4"/>
        <v>2025</v>
      </c>
      <c r="C143" s="4">
        <f t="shared" si="5"/>
        <v>5</v>
      </c>
      <c r="D143" s="5" t="s">
        <v>4</v>
      </c>
      <c r="E143" s="6" t="s">
        <v>21</v>
      </c>
      <c r="F143" s="6" t="s">
        <v>2</v>
      </c>
      <c r="G143" s="6" t="s">
        <v>42</v>
      </c>
      <c r="H143" s="6">
        <v>3</v>
      </c>
      <c r="I143" s="33">
        <v>638.66</v>
      </c>
      <c r="J143" s="36">
        <v>1915.98</v>
      </c>
      <c r="M143" s="39"/>
      <c r="R143" s="38"/>
    </row>
    <row r="144" spans="1:18" x14ac:dyDescent="0.2">
      <c r="A144" s="12">
        <v>45800</v>
      </c>
      <c r="B144" s="4">
        <f t="shared" si="4"/>
        <v>2025</v>
      </c>
      <c r="C144" s="4">
        <f t="shared" si="5"/>
        <v>5</v>
      </c>
      <c r="D144" s="5" t="s">
        <v>4</v>
      </c>
      <c r="E144" s="6" t="s">
        <v>21</v>
      </c>
      <c r="F144" s="6" t="s">
        <v>6</v>
      </c>
      <c r="G144" s="6" t="s">
        <v>46</v>
      </c>
      <c r="H144" s="6">
        <v>10</v>
      </c>
      <c r="I144" s="33">
        <v>647.66999999999996</v>
      </c>
      <c r="J144" s="36">
        <v>6476.7</v>
      </c>
      <c r="M144" s="39"/>
      <c r="R144" s="38"/>
    </row>
    <row r="145" spans="1:18" x14ac:dyDescent="0.2">
      <c r="A145" s="12">
        <v>45801</v>
      </c>
      <c r="B145" s="4">
        <f t="shared" si="4"/>
        <v>2025</v>
      </c>
      <c r="C145" s="4">
        <f t="shared" si="5"/>
        <v>5</v>
      </c>
      <c r="D145" s="5" t="s">
        <v>8</v>
      </c>
      <c r="E145" s="6" t="s">
        <v>26</v>
      </c>
      <c r="F145" s="6" t="s">
        <v>13</v>
      </c>
      <c r="G145" s="6" t="s">
        <v>47</v>
      </c>
      <c r="H145" s="6">
        <v>5</v>
      </c>
      <c r="I145" s="33">
        <v>938.49</v>
      </c>
      <c r="J145" s="36">
        <v>4692.45</v>
      </c>
      <c r="M145" s="39"/>
      <c r="R145" s="38"/>
    </row>
    <row r="146" spans="1:18" x14ac:dyDescent="0.2">
      <c r="A146" s="12">
        <v>45802</v>
      </c>
      <c r="B146" s="4">
        <f t="shared" si="4"/>
        <v>2025</v>
      </c>
      <c r="C146" s="4">
        <f t="shared" si="5"/>
        <v>5</v>
      </c>
      <c r="D146" s="5" t="s">
        <v>8</v>
      </c>
      <c r="E146" s="6" t="s">
        <v>9</v>
      </c>
      <c r="F146" s="6" t="s">
        <v>6</v>
      </c>
      <c r="G146" s="6" t="s">
        <v>18</v>
      </c>
      <c r="H146" s="6">
        <v>3</v>
      </c>
      <c r="I146" s="33">
        <v>33.200000000000003</v>
      </c>
      <c r="J146" s="36">
        <v>99.6</v>
      </c>
      <c r="M146" s="39"/>
      <c r="R146" s="38"/>
    </row>
    <row r="147" spans="1:18" x14ac:dyDescent="0.2">
      <c r="A147" s="12">
        <v>45803</v>
      </c>
      <c r="B147" s="4">
        <f t="shared" si="4"/>
        <v>2025</v>
      </c>
      <c r="C147" s="4">
        <f t="shared" si="5"/>
        <v>5</v>
      </c>
      <c r="D147" s="5" t="s">
        <v>0</v>
      </c>
      <c r="E147" s="6" t="s">
        <v>26</v>
      </c>
      <c r="F147" s="6" t="s">
        <v>38</v>
      </c>
      <c r="G147" s="6" t="s">
        <v>36</v>
      </c>
      <c r="H147" s="6">
        <v>8</v>
      </c>
      <c r="I147" s="33">
        <v>1453.51</v>
      </c>
      <c r="J147" s="36">
        <v>11628.08</v>
      </c>
      <c r="M147" s="39"/>
      <c r="R147" s="38"/>
    </row>
    <row r="148" spans="1:18" x14ac:dyDescent="0.2">
      <c r="A148" s="12">
        <v>45804</v>
      </c>
      <c r="B148" s="4">
        <f t="shared" si="4"/>
        <v>2025</v>
      </c>
      <c r="C148" s="4">
        <f t="shared" si="5"/>
        <v>5</v>
      </c>
      <c r="D148" s="5" t="s">
        <v>11</v>
      </c>
      <c r="E148" s="6" t="s">
        <v>12</v>
      </c>
      <c r="F148" s="6" t="s">
        <v>35</v>
      </c>
      <c r="G148" s="6" t="s">
        <v>20</v>
      </c>
      <c r="H148" s="6">
        <v>6</v>
      </c>
      <c r="I148" s="33">
        <v>109.18</v>
      </c>
      <c r="J148" s="36">
        <v>655.08000000000004</v>
      </c>
      <c r="M148" s="39"/>
      <c r="R148" s="38"/>
    </row>
    <row r="149" spans="1:18" x14ac:dyDescent="0.2">
      <c r="A149" s="12">
        <v>45805</v>
      </c>
      <c r="B149" s="4">
        <f t="shared" si="4"/>
        <v>2025</v>
      </c>
      <c r="C149" s="4">
        <f t="shared" si="5"/>
        <v>5</v>
      </c>
      <c r="D149" s="5" t="s">
        <v>0</v>
      </c>
      <c r="E149" s="6" t="s">
        <v>12</v>
      </c>
      <c r="F149" s="6" t="s">
        <v>35</v>
      </c>
      <c r="G149" s="6" t="s">
        <v>45</v>
      </c>
      <c r="H149" s="6">
        <v>3</v>
      </c>
      <c r="I149" s="33">
        <v>1181.17</v>
      </c>
      <c r="J149" s="36">
        <v>3543.51</v>
      </c>
      <c r="M149" s="39"/>
      <c r="R149" s="38"/>
    </row>
    <row r="150" spans="1:18" x14ac:dyDescent="0.2">
      <c r="A150" s="12">
        <v>45806</v>
      </c>
      <c r="B150" s="4">
        <f t="shared" si="4"/>
        <v>2025</v>
      </c>
      <c r="C150" s="4">
        <f t="shared" si="5"/>
        <v>5</v>
      </c>
      <c r="D150" s="5" t="s">
        <v>19</v>
      </c>
      <c r="E150" s="6" t="s">
        <v>1</v>
      </c>
      <c r="F150" s="6" t="s">
        <v>2</v>
      </c>
      <c r="G150" s="6" t="s">
        <v>3</v>
      </c>
      <c r="H150" s="6">
        <v>1</v>
      </c>
      <c r="I150" s="33">
        <v>540.91</v>
      </c>
      <c r="J150" s="36">
        <v>540.91</v>
      </c>
      <c r="M150" s="39"/>
      <c r="R150" s="38"/>
    </row>
    <row r="151" spans="1:18" x14ac:dyDescent="0.2">
      <c r="A151" s="12">
        <v>45807</v>
      </c>
      <c r="B151" s="4">
        <f t="shared" si="4"/>
        <v>2025</v>
      </c>
      <c r="C151" s="4">
        <f t="shared" si="5"/>
        <v>5</v>
      </c>
      <c r="D151" s="5" t="s">
        <v>0</v>
      </c>
      <c r="E151" s="6" t="s">
        <v>12</v>
      </c>
      <c r="F151" s="6" t="s">
        <v>2</v>
      </c>
      <c r="G151" s="6" t="s">
        <v>14</v>
      </c>
      <c r="H151" s="6">
        <v>9</v>
      </c>
      <c r="I151" s="33">
        <v>819.05</v>
      </c>
      <c r="J151" s="36">
        <v>7371.45</v>
      </c>
      <c r="M151" s="39"/>
      <c r="R151" s="38"/>
    </row>
    <row r="152" spans="1:18" x14ac:dyDescent="0.2">
      <c r="A152" s="12">
        <v>45808</v>
      </c>
      <c r="B152" s="4">
        <f t="shared" si="4"/>
        <v>2025</v>
      </c>
      <c r="C152" s="4">
        <f t="shared" si="5"/>
        <v>5</v>
      </c>
      <c r="D152" s="5" t="s">
        <v>11</v>
      </c>
      <c r="E152" s="6" t="s">
        <v>26</v>
      </c>
      <c r="F152" s="6" t="s">
        <v>2</v>
      </c>
      <c r="G152" s="6" t="s">
        <v>39</v>
      </c>
      <c r="H152" s="6">
        <v>4</v>
      </c>
      <c r="I152" s="33">
        <v>48.45</v>
      </c>
      <c r="J152" s="36">
        <v>193.8</v>
      </c>
      <c r="M152" s="39"/>
      <c r="R152" s="38"/>
    </row>
    <row r="153" spans="1:18" x14ac:dyDescent="0.2">
      <c r="A153" s="12">
        <v>45809</v>
      </c>
      <c r="B153" s="4">
        <f t="shared" si="4"/>
        <v>2025</v>
      </c>
      <c r="C153" s="4">
        <f t="shared" si="5"/>
        <v>6</v>
      </c>
      <c r="D153" s="5" t="s">
        <v>19</v>
      </c>
      <c r="E153" s="6" t="s">
        <v>5</v>
      </c>
      <c r="F153" s="6" t="s">
        <v>23</v>
      </c>
      <c r="G153" s="6" t="s">
        <v>43</v>
      </c>
      <c r="H153" s="6">
        <v>9</v>
      </c>
      <c r="I153" s="33">
        <v>660.8</v>
      </c>
      <c r="J153" s="36">
        <v>5947.2</v>
      </c>
      <c r="M153" s="39"/>
      <c r="R153" s="38"/>
    </row>
    <row r="154" spans="1:18" x14ac:dyDescent="0.2">
      <c r="A154" s="12">
        <v>45810</v>
      </c>
      <c r="B154" s="4">
        <f t="shared" si="4"/>
        <v>2025</v>
      </c>
      <c r="C154" s="4">
        <f t="shared" si="5"/>
        <v>6</v>
      </c>
      <c r="D154" s="5" t="s">
        <v>0</v>
      </c>
      <c r="E154" s="6" t="s">
        <v>12</v>
      </c>
      <c r="F154" s="6" t="s">
        <v>6</v>
      </c>
      <c r="G154" s="6" t="s">
        <v>20</v>
      </c>
      <c r="H154" s="6">
        <v>1</v>
      </c>
      <c r="I154" s="33">
        <v>528.01</v>
      </c>
      <c r="J154" s="36">
        <v>528.01</v>
      </c>
      <c r="M154" s="39"/>
      <c r="R154" s="38"/>
    </row>
    <row r="155" spans="1:18" x14ac:dyDescent="0.2">
      <c r="A155" s="12">
        <v>45811</v>
      </c>
      <c r="B155" s="4">
        <f t="shared" si="4"/>
        <v>2025</v>
      </c>
      <c r="C155" s="4">
        <f t="shared" si="5"/>
        <v>6</v>
      </c>
      <c r="D155" s="5" t="s">
        <v>0</v>
      </c>
      <c r="E155" s="6" t="s">
        <v>5</v>
      </c>
      <c r="F155" s="6" t="s">
        <v>13</v>
      </c>
      <c r="G155" s="6" t="s">
        <v>43</v>
      </c>
      <c r="H155" s="6">
        <v>4</v>
      </c>
      <c r="I155" s="33">
        <v>753.11</v>
      </c>
      <c r="J155" s="36">
        <v>3012.44</v>
      </c>
      <c r="M155" s="39"/>
      <c r="R155" s="38"/>
    </row>
    <row r="156" spans="1:18" x14ac:dyDescent="0.2">
      <c r="A156" s="12">
        <v>45812</v>
      </c>
      <c r="B156" s="4">
        <f t="shared" si="4"/>
        <v>2025</v>
      </c>
      <c r="C156" s="4">
        <f t="shared" si="5"/>
        <v>6</v>
      </c>
      <c r="D156" s="5" t="s">
        <v>4</v>
      </c>
      <c r="E156" s="6" t="s">
        <v>5</v>
      </c>
      <c r="F156" s="6" t="s">
        <v>33</v>
      </c>
      <c r="G156" s="6" t="s">
        <v>29</v>
      </c>
      <c r="H156" s="6">
        <v>5</v>
      </c>
      <c r="I156" s="33">
        <v>1169.3499999999999</v>
      </c>
      <c r="J156" s="36">
        <v>5846.75</v>
      </c>
      <c r="M156" s="39"/>
      <c r="R156" s="38"/>
    </row>
    <row r="157" spans="1:18" x14ac:dyDescent="0.2">
      <c r="A157" s="12">
        <v>45813</v>
      </c>
      <c r="B157" s="4">
        <f t="shared" si="4"/>
        <v>2025</v>
      </c>
      <c r="C157" s="4">
        <f t="shared" si="5"/>
        <v>6</v>
      </c>
      <c r="D157" s="5" t="s">
        <v>19</v>
      </c>
      <c r="E157" s="6" t="s">
        <v>1</v>
      </c>
      <c r="F157" s="6" t="s">
        <v>6</v>
      </c>
      <c r="G157" s="6" t="s">
        <v>48</v>
      </c>
      <c r="H157" s="6">
        <v>3</v>
      </c>
      <c r="I157" s="33">
        <v>1296.8699999999999</v>
      </c>
      <c r="J157" s="36">
        <v>3890.61</v>
      </c>
      <c r="M157" s="39"/>
      <c r="R157" s="38"/>
    </row>
    <row r="158" spans="1:18" x14ac:dyDescent="0.2">
      <c r="A158" s="12">
        <v>45814</v>
      </c>
      <c r="B158" s="4">
        <f t="shared" si="4"/>
        <v>2025</v>
      </c>
      <c r="C158" s="4">
        <f t="shared" si="5"/>
        <v>6</v>
      </c>
      <c r="D158" s="5" t="s">
        <v>19</v>
      </c>
      <c r="E158" s="6" t="s">
        <v>12</v>
      </c>
      <c r="F158" s="6" t="s">
        <v>23</v>
      </c>
      <c r="G158" s="6" t="s">
        <v>44</v>
      </c>
      <c r="H158" s="6">
        <v>9</v>
      </c>
      <c r="I158" s="33">
        <v>676.9</v>
      </c>
      <c r="J158" s="36">
        <v>6092.1</v>
      </c>
      <c r="M158" s="39"/>
      <c r="R158" s="38"/>
    </row>
    <row r="159" spans="1:18" x14ac:dyDescent="0.2">
      <c r="A159" s="12">
        <v>45815</v>
      </c>
      <c r="B159" s="4">
        <f t="shared" si="4"/>
        <v>2025</v>
      </c>
      <c r="C159" s="4">
        <f t="shared" si="5"/>
        <v>6</v>
      </c>
      <c r="D159" s="5" t="s">
        <v>4</v>
      </c>
      <c r="E159" s="6" t="s">
        <v>21</v>
      </c>
      <c r="F159" s="6" t="s">
        <v>23</v>
      </c>
      <c r="G159" s="6" t="s">
        <v>37</v>
      </c>
      <c r="H159" s="6">
        <v>8</v>
      </c>
      <c r="I159" s="33">
        <v>198.09</v>
      </c>
      <c r="J159" s="36">
        <v>1584.72</v>
      </c>
      <c r="M159" s="39"/>
      <c r="R159" s="38"/>
    </row>
    <row r="160" spans="1:18" x14ac:dyDescent="0.2">
      <c r="A160" s="12">
        <v>45816</v>
      </c>
      <c r="B160" s="4">
        <f t="shared" si="4"/>
        <v>2025</v>
      </c>
      <c r="C160" s="4">
        <f t="shared" si="5"/>
        <v>6</v>
      </c>
      <c r="D160" s="5" t="s">
        <v>4</v>
      </c>
      <c r="E160" s="6" t="s">
        <v>1</v>
      </c>
      <c r="F160" s="6" t="s">
        <v>13</v>
      </c>
      <c r="G160" s="6" t="s">
        <v>34</v>
      </c>
      <c r="H160" s="6">
        <v>2</v>
      </c>
      <c r="I160" s="33">
        <v>620.5</v>
      </c>
      <c r="J160" s="36">
        <v>1241</v>
      </c>
      <c r="M160" s="39"/>
      <c r="R160" s="38"/>
    </row>
    <row r="161" spans="1:18" x14ac:dyDescent="0.2">
      <c r="A161" s="12">
        <v>45817</v>
      </c>
      <c r="B161" s="4">
        <f t="shared" si="4"/>
        <v>2025</v>
      </c>
      <c r="C161" s="4">
        <f t="shared" si="5"/>
        <v>6</v>
      </c>
      <c r="D161" s="5" t="s">
        <v>4</v>
      </c>
      <c r="E161" s="6" t="s">
        <v>9</v>
      </c>
      <c r="F161" s="6" t="s">
        <v>35</v>
      </c>
      <c r="G161" s="6" t="s">
        <v>10</v>
      </c>
      <c r="H161" s="6">
        <v>7</v>
      </c>
      <c r="I161" s="33">
        <v>1212.0999999999999</v>
      </c>
      <c r="J161" s="36">
        <v>8484.7000000000007</v>
      </c>
      <c r="M161" s="39"/>
      <c r="R161" s="38"/>
    </row>
    <row r="162" spans="1:18" x14ac:dyDescent="0.2">
      <c r="A162" s="12">
        <v>45818</v>
      </c>
      <c r="B162" s="4">
        <f t="shared" si="4"/>
        <v>2025</v>
      </c>
      <c r="C162" s="4">
        <f t="shared" si="5"/>
        <v>6</v>
      </c>
      <c r="D162" s="5" t="s">
        <v>11</v>
      </c>
      <c r="E162" s="6" t="s">
        <v>12</v>
      </c>
      <c r="F162" s="6" t="s">
        <v>6</v>
      </c>
      <c r="G162" s="6" t="s">
        <v>45</v>
      </c>
      <c r="H162" s="6">
        <v>2</v>
      </c>
      <c r="I162" s="33">
        <v>1249.73</v>
      </c>
      <c r="J162" s="36">
        <v>2499.46</v>
      </c>
      <c r="M162" s="39"/>
      <c r="R162" s="38"/>
    </row>
    <row r="163" spans="1:18" x14ac:dyDescent="0.2">
      <c r="A163" s="12">
        <v>45819</v>
      </c>
      <c r="B163" s="4">
        <f t="shared" si="4"/>
        <v>2025</v>
      </c>
      <c r="C163" s="4">
        <f t="shared" si="5"/>
        <v>6</v>
      </c>
      <c r="D163" s="5" t="s">
        <v>4</v>
      </c>
      <c r="E163" s="6" t="s">
        <v>21</v>
      </c>
      <c r="F163" s="6" t="s">
        <v>6</v>
      </c>
      <c r="G163" s="6" t="s">
        <v>46</v>
      </c>
      <c r="H163" s="6">
        <v>7</v>
      </c>
      <c r="I163" s="33">
        <v>1248.3599999999999</v>
      </c>
      <c r="J163" s="36">
        <v>8738.52</v>
      </c>
      <c r="M163" s="39"/>
      <c r="R163" s="38"/>
    </row>
    <row r="164" spans="1:18" x14ac:dyDescent="0.2">
      <c r="A164" s="12">
        <v>45820</v>
      </c>
      <c r="B164" s="4">
        <f t="shared" si="4"/>
        <v>2025</v>
      </c>
      <c r="C164" s="4">
        <f t="shared" si="5"/>
        <v>6</v>
      </c>
      <c r="D164" s="5" t="s">
        <v>11</v>
      </c>
      <c r="E164" s="6" t="s">
        <v>21</v>
      </c>
      <c r="F164" s="6" t="s">
        <v>23</v>
      </c>
      <c r="G164" s="6" t="s">
        <v>28</v>
      </c>
      <c r="H164" s="6">
        <v>10</v>
      </c>
      <c r="I164" s="33">
        <v>945.38</v>
      </c>
      <c r="J164" s="36">
        <v>9453.7999999999993</v>
      </c>
      <c r="M164" s="39"/>
      <c r="R164" s="38"/>
    </row>
    <row r="165" spans="1:18" x14ac:dyDescent="0.2">
      <c r="A165" s="12">
        <v>45821</v>
      </c>
      <c r="B165" s="4">
        <f t="shared" si="4"/>
        <v>2025</v>
      </c>
      <c r="C165" s="4">
        <f t="shared" si="5"/>
        <v>6</v>
      </c>
      <c r="D165" s="5" t="s">
        <v>11</v>
      </c>
      <c r="E165" s="6" t="s">
        <v>5</v>
      </c>
      <c r="F165" s="6" t="s">
        <v>13</v>
      </c>
      <c r="G165" s="6" t="s">
        <v>32</v>
      </c>
      <c r="H165" s="6">
        <v>6</v>
      </c>
      <c r="I165" s="33">
        <v>1442.78</v>
      </c>
      <c r="J165" s="36">
        <v>8656.68</v>
      </c>
      <c r="M165" s="39"/>
      <c r="R165" s="38"/>
    </row>
    <row r="166" spans="1:18" x14ac:dyDescent="0.2">
      <c r="A166" s="12">
        <v>45822</v>
      </c>
      <c r="B166" s="4">
        <f t="shared" si="4"/>
        <v>2025</v>
      </c>
      <c r="C166" s="4">
        <f t="shared" si="5"/>
        <v>6</v>
      </c>
      <c r="D166" s="5" t="s">
        <v>4</v>
      </c>
      <c r="E166" s="6" t="s">
        <v>9</v>
      </c>
      <c r="F166" s="6" t="s">
        <v>35</v>
      </c>
      <c r="G166" s="6" t="s">
        <v>41</v>
      </c>
      <c r="H166" s="6">
        <v>3</v>
      </c>
      <c r="I166" s="33">
        <v>1473.55</v>
      </c>
      <c r="J166" s="36">
        <v>4420.6499999999996</v>
      </c>
      <c r="M166" s="39"/>
      <c r="R166" s="38"/>
    </row>
    <row r="167" spans="1:18" x14ac:dyDescent="0.2">
      <c r="A167" s="12">
        <v>45823</v>
      </c>
      <c r="B167" s="4">
        <f t="shared" si="4"/>
        <v>2025</v>
      </c>
      <c r="C167" s="4">
        <f t="shared" si="5"/>
        <v>6</v>
      </c>
      <c r="D167" s="5" t="s">
        <v>0</v>
      </c>
      <c r="E167" s="6" t="s">
        <v>26</v>
      </c>
      <c r="F167" s="6" t="s">
        <v>38</v>
      </c>
      <c r="G167" s="6" t="s">
        <v>47</v>
      </c>
      <c r="H167" s="6">
        <v>4</v>
      </c>
      <c r="I167" s="33">
        <v>139.83000000000001</v>
      </c>
      <c r="J167" s="36">
        <v>559.32000000000005</v>
      </c>
      <c r="M167" s="39"/>
      <c r="R167" s="38"/>
    </row>
    <row r="168" spans="1:18" x14ac:dyDescent="0.2">
      <c r="A168" s="12">
        <v>45824</v>
      </c>
      <c r="B168" s="4">
        <f t="shared" si="4"/>
        <v>2025</v>
      </c>
      <c r="C168" s="4">
        <f t="shared" si="5"/>
        <v>6</v>
      </c>
      <c r="D168" s="5" t="s">
        <v>11</v>
      </c>
      <c r="E168" s="6" t="s">
        <v>12</v>
      </c>
      <c r="F168" s="6" t="s">
        <v>2</v>
      </c>
      <c r="G168" s="6" t="s">
        <v>14</v>
      </c>
      <c r="H168" s="6">
        <v>1</v>
      </c>
      <c r="I168" s="33">
        <v>1446.13</v>
      </c>
      <c r="J168" s="36">
        <v>1446.13</v>
      </c>
      <c r="M168" s="39"/>
      <c r="R168" s="38"/>
    </row>
    <row r="169" spans="1:18" x14ac:dyDescent="0.2">
      <c r="A169" s="12">
        <v>45825</v>
      </c>
      <c r="B169" s="4">
        <f t="shared" si="4"/>
        <v>2025</v>
      </c>
      <c r="C169" s="4">
        <f t="shared" si="5"/>
        <v>6</v>
      </c>
      <c r="D169" s="5" t="s">
        <v>4</v>
      </c>
      <c r="E169" s="6" t="s">
        <v>21</v>
      </c>
      <c r="F169" s="6" t="s">
        <v>6</v>
      </c>
      <c r="G169" s="6" t="s">
        <v>42</v>
      </c>
      <c r="H169" s="6">
        <v>9</v>
      </c>
      <c r="I169" s="33">
        <v>826.89</v>
      </c>
      <c r="J169" s="36">
        <v>7442.01</v>
      </c>
      <c r="M169" s="39"/>
      <c r="R169" s="38"/>
    </row>
    <row r="170" spans="1:18" x14ac:dyDescent="0.2">
      <c r="A170" s="12">
        <v>45826</v>
      </c>
      <c r="B170" s="4">
        <f t="shared" si="4"/>
        <v>2025</v>
      </c>
      <c r="C170" s="4">
        <f t="shared" si="5"/>
        <v>6</v>
      </c>
      <c r="D170" s="5" t="s">
        <v>4</v>
      </c>
      <c r="E170" s="6" t="s">
        <v>9</v>
      </c>
      <c r="F170" s="6" t="s">
        <v>35</v>
      </c>
      <c r="G170" s="6" t="s">
        <v>41</v>
      </c>
      <c r="H170" s="6">
        <v>5</v>
      </c>
      <c r="I170" s="33">
        <v>191.61</v>
      </c>
      <c r="J170" s="36">
        <v>958.05</v>
      </c>
      <c r="M170" s="39"/>
      <c r="R170" s="38"/>
    </row>
    <row r="171" spans="1:18" x14ac:dyDescent="0.2">
      <c r="A171" s="12">
        <v>45827</v>
      </c>
      <c r="B171" s="4">
        <f t="shared" si="4"/>
        <v>2025</v>
      </c>
      <c r="C171" s="4">
        <f t="shared" si="5"/>
        <v>6</v>
      </c>
      <c r="D171" s="5" t="s">
        <v>19</v>
      </c>
      <c r="E171" s="6" t="s">
        <v>5</v>
      </c>
      <c r="F171" s="6" t="s">
        <v>16</v>
      </c>
      <c r="G171" s="6" t="s">
        <v>29</v>
      </c>
      <c r="H171" s="6">
        <v>5</v>
      </c>
      <c r="I171" s="33">
        <v>1164.1300000000001</v>
      </c>
      <c r="J171" s="36">
        <v>5820.65</v>
      </c>
      <c r="M171" s="39"/>
      <c r="R171" s="38"/>
    </row>
    <row r="172" spans="1:18" x14ac:dyDescent="0.2">
      <c r="A172" s="12">
        <v>45828</v>
      </c>
      <c r="B172" s="4">
        <f t="shared" si="4"/>
        <v>2025</v>
      </c>
      <c r="C172" s="4">
        <f t="shared" si="5"/>
        <v>6</v>
      </c>
      <c r="D172" s="5" t="s">
        <v>11</v>
      </c>
      <c r="E172" s="6" t="s">
        <v>1</v>
      </c>
      <c r="F172" s="6" t="s">
        <v>23</v>
      </c>
      <c r="G172" s="6" t="s">
        <v>25</v>
      </c>
      <c r="H172" s="6">
        <v>3</v>
      </c>
      <c r="I172" s="33">
        <v>320.64</v>
      </c>
      <c r="J172" s="36">
        <v>961.92</v>
      </c>
      <c r="M172" s="39"/>
      <c r="R172" s="38"/>
    </row>
    <row r="173" spans="1:18" x14ac:dyDescent="0.2">
      <c r="A173" s="12">
        <v>45829</v>
      </c>
      <c r="B173" s="4">
        <f t="shared" si="4"/>
        <v>2025</v>
      </c>
      <c r="C173" s="4">
        <f t="shared" si="5"/>
        <v>6</v>
      </c>
      <c r="D173" s="5" t="s">
        <v>0</v>
      </c>
      <c r="E173" s="6" t="s">
        <v>5</v>
      </c>
      <c r="F173" s="6" t="s">
        <v>35</v>
      </c>
      <c r="G173" s="6" t="s">
        <v>32</v>
      </c>
      <c r="H173" s="6">
        <v>4</v>
      </c>
      <c r="I173" s="33">
        <v>984.64</v>
      </c>
      <c r="J173" s="36">
        <v>3938.56</v>
      </c>
      <c r="M173" s="39"/>
      <c r="R173" s="38"/>
    </row>
    <row r="174" spans="1:18" x14ac:dyDescent="0.2">
      <c r="A174" s="12">
        <v>45830</v>
      </c>
      <c r="B174" s="4">
        <f t="shared" si="4"/>
        <v>2025</v>
      </c>
      <c r="C174" s="4">
        <f t="shared" si="5"/>
        <v>6</v>
      </c>
      <c r="D174" s="5" t="s">
        <v>8</v>
      </c>
      <c r="E174" s="6" t="s">
        <v>1</v>
      </c>
      <c r="F174" s="6" t="s">
        <v>35</v>
      </c>
      <c r="G174" s="6" t="s">
        <v>25</v>
      </c>
      <c r="H174" s="6">
        <v>2</v>
      </c>
      <c r="I174" s="33">
        <v>200.95</v>
      </c>
      <c r="J174" s="36">
        <v>401.9</v>
      </c>
      <c r="M174" s="39"/>
      <c r="R174" s="38"/>
    </row>
    <row r="175" spans="1:18" x14ac:dyDescent="0.2">
      <c r="A175" s="12">
        <v>45831</v>
      </c>
      <c r="B175" s="4">
        <f t="shared" si="4"/>
        <v>2025</v>
      </c>
      <c r="C175" s="4">
        <f t="shared" si="5"/>
        <v>6</v>
      </c>
      <c r="D175" s="5" t="s">
        <v>19</v>
      </c>
      <c r="E175" s="6" t="s">
        <v>26</v>
      </c>
      <c r="F175" s="6" t="s">
        <v>23</v>
      </c>
      <c r="G175" s="6" t="s">
        <v>36</v>
      </c>
      <c r="H175" s="6">
        <v>1</v>
      </c>
      <c r="I175" s="33">
        <v>157.57</v>
      </c>
      <c r="J175" s="36">
        <v>157.57</v>
      </c>
      <c r="M175" s="39"/>
      <c r="R175" s="38"/>
    </row>
    <row r="176" spans="1:18" x14ac:dyDescent="0.2">
      <c r="A176" s="12">
        <v>45832</v>
      </c>
      <c r="B176" s="4">
        <f t="shared" si="4"/>
        <v>2025</v>
      </c>
      <c r="C176" s="4">
        <f t="shared" si="5"/>
        <v>6</v>
      </c>
      <c r="D176" s="5" t="s">
        <v>0</v>
      </c>
      <c r="E176" s="6" t="s">
        <v>5</v>
      </c>
      <c r="F176" s="6" t="s">
        <v>2</v>
      </c>
      <c r="G176" s="6" t="s">
        <v>7</v>
      </c>
      <c r="H176" s="6">
        <v>9</v>
      </c>
      <c r="I176" s="33">
        <v>376.64</v>
      </c>
      <c r="J176" s="36">
        <v>3389.76</v>
      </c>
      <c r="M176" s="39"/>
      <c r="R176" s="38"/>
    </row>
    <row r="177" spans="1:18" x14ac:dyDescent="0.2">
      <c r="A177" s="12">
        <v>45833</v>
      </c>
      <c r="B177" s="4">
        <f t="shared" si="4"/>
        <v>2025</v>
      </c>
      <c r="C177" s="4">
        <f t="shared" si="5"/>
        <v>6</v>
      </c>
      <c r="D177" s="5" t="s">
        <v>19</v>
      </c>
      <c r="E177" s="6" t="s">
        <v>21</v>
      </c>
      <c r="F177" s="6" t="s">
        <v>6</v>
      </c>
      <c r="G177" s="6" t="s">
        <v>46</v>
      </c>
      <c r="H177" s="6">
        <v>8</v>
      </c>
      <c r="I177" s="33">
        <v>744.61</v>
      </c>
      <c r="J177" s="36">
        <v>5956.88</v>
      </c>
      <c r="M177" s="39"/>
      <c r="R177" s="38"/>
    </row>
    <row r="178" spans="1:18" x14ac:dyDescent="0.2">
      <c r="A178" s="12">
        <v>45834</v>
      </c>
      <c r="B178" s="4">
        <f t="shared" si="4"/>
        <v>2025</v>
      </c>
      <c r="C178" s="4">
        <f t="shared" si="5"/>
        <v>6</v>
      </c>
      <c r="D178" s="5" t="s">
        <v>19</v>
      </c>
      <c r="E178" s="6" t="s">
        <v>12</v>
      </c>
      <c r="F178" s="6" t="s">
        <v>16</v>
      </c>
      <c r="G178" s="6" t="s">
        <v>31</v>
      </c>
      <c r="H178" s="6">
        <v>4</v>
      </c>
      <c r="I178" s="33">
        <v>675.25</v>
      </c>
      <c r="J178" s="36">
        <v>2701</v>
      </c>
      <c r="M178" s="39"/>
      <c r="R178" s="38"/>
    </row>
    <row r="179" spans="1:18" x14ac:dyDescent="0.2">
      <c r="A179" s="12">
        <v>45835</v>
      </c>
      <c r="B179" s="4">
        <f t="shared" si="4"/>
        <v>2025</v>
      </c>
      <c r="C179" s="4">
        <f t="shared" si="5"/>
        <v>6</v>
      </c>
      <c r="D179" s="5" t="s">
        <v>8</v>
      </c>
      <c r="E179" s="6" t="s">
        <v>1</v>
      </c>
      <c r="F179" s="6" t="s">
        <v>13</v>
      </c>
      <c r="G179" s="6" t="s">
        <v>25</v>
      </c>
      <c r="H179" s="6">
        <v>9</v>
      </c>
      <c r="I179" s="33">
        <v>1131.5999999999999</v>
      </c>
      <c r="J179" s="36">
        <v>10184.4</v>
      </c>
      <c r="M179" s="39"/>
      <c r="R179" s="38"/>
    </row>
    <row r="180" spans="1:18" x14ac:dyDescent="0.2">
      <c r="A180" s="12">
        <v>45836</v>
      </c>
      <c r="B180" s="4">
        <f t="shared" si="4"/>
        <v>2025</v>
      </c>
      <c r="C180" s="4">
        <f t="shared" si="5"/>
        <v>6</v>
      </c>
      <c r="D180" s="5" t="s">
        <v>11</v>
      </c>
      <c r="E180" s="6" t="s">
        <v>9</v>
      </c>
      <c r="F180" s="6" t="s">
        <v>35</v>
      </c>
      <c r="G180" s="6" t="s">
        <v>41</v>
      </c>
      <c r="H180" s="6">
        <v>3</v>
      </c>
      <c r="I180" s="33">
        <v>237.33</v>
      </c>
      <c r="J180" s="36">
        <v>711.99</v>
      </c>
      <c r="M180" s="39"/>
      <c r="R180" s="38"/>
    </row>
    <row r="181" spans="1:18" x14ac:dyDescent="0.2">
      <c r="A181" s="12">
        <v>45837</v>
      </c>
      <c r="B181" s="4">
        <f t="shared" si="4"/>
        <v>2025</v>
      </c>
      <c r="C181" s="4">
        <f t="shared" si="5"/>
        <v>6</v>
      </c>
      <c r="D181" s="5" t="s">
        <v>11</v>
      </c>
      <c r="E181" s="6" t="s">
        <v>9</v>
      </c>
      <c r="F181" s="6" t="s">
        <v>35</v>
      </c>
      <c r="G181" s="6" t="s">
        <v>17</v>
      </c>
      <c r="H181" s="6">
        <v>2</v>
      </c>
      <c r="I181" s="33">
        <v>801.93</v>
      </c>
      <c r="J181" s="36">
        <v>1603.86</v>
      </c>
      <c r="M181" s="39"/>
      <c r="R181" s="38"/>
    </row>
    <row r="182" spans="1:18" x14ac:dyDescent="0.2">
      <c r="A182" s="12">
        <v>45838</v>
      </c>
      <c r="B182" s="4">
        <f t="shared" si="4"/>
        <v>2025</v>
      </c>
      <c r="C182" s="4">
        <f t="shared" si="5"/>
        <v>6</v>
      </c>
      <c r="D182" s="5" t="s">
        <v>4</v>
      </c>
      <c r="E182" s="6" t="s">
        <v>1</v>
      </c>
      <c r="F182" s="6" t="s">
        <v>38</v>
      </c>
      <c r="G182" s="6" t="s">
        <v>48</v>
      </c>
      <c r="H182" s="6">
        <v>7</v>
      </c>
      <c r="I182" s="33">
        <v>886.14</v>
      </c>
      <c r="J182" s="36">
        <v>6202.98</v>
      </c>
      <c r="M182" s="39"/>
      <c r="R182" s="38"/>
    </row>
    <row r="183" spans="1:18" x14ac:dyDescent="0.2">
      <c r="A183" s="12">
        <v>45839</v>
      </c>
      <c r="B183" s="4">
        <f t="shared" si="4"/>
        <v>2025</v>
      </c>
      <c r="C183" s="4">
        <f t="shared" si="5"/>
        <v>7</v>
      </c>
      <c r="D183" s="5" t="s">
        <v>19</v>
      </c>
      <c r="E183" s="6" t="s">
        <v>5</v>
      </c>
      <c r="F183" s="6" t="s">
        <v>13</v>
      </c>
      <c r="G183" s="6" t="s">
        <v>43</v>
      </c>
      <c r="H183" s="6">
        <v>9</v>
      </c>
      <c r="I183" s="33">
        <v>1496.71</v>
      </c>
      <c r="J183" s="36">
        <v>13470.39</v>
      </c>
      <c r="M183" s="39"/>
      <c r="R183" s="38"/>
    </row>
    <row r="184" spans="1:18" x14ac:dyDescent="0.2">
      <c r="A184" s="12">
        <v>45840</v>
      </c>
      <c r="B184" s="4">
        <f t="shared" si="4"/>
        <v>2025</v>
      </c>
      <c r="C184" s="4">
        <f t="shared" si="5"/>
        <v>7</v>
      </c>
      <c r="D184" s="5" t="s">
        <v>4</v>
      </c>
      <c r="E184" s="6" t="s">
        <v>1</v>
      </c>
      <c r="F184" s="6" t="s">
        <v>35</v>
      </c>
      <c r="G184" s="6" t="s">
        <v>3</v>
      </c>
      <c r="H184" s="6">
        <v>8</v>
      </c>
      <c r="I184" s="33">
        <v>1312.58</v>
      </c>
      <c r="J184" s="36">
        <v>10500.64</v>
      </c>
      <c r="M184" s="39"/>
      <c r="R184" s="38"/>
    </row>
    <row r="185" spans="1:18" x14ac:dyDescent="0.2">
      <c r="A185" s="12">
        <v>45841</v>
      </c>
      <c r="B185" s="4">
        <f t="shared" si="4"/>
        <v>2025</v>
      </c>
      <c r="C185" s="4">
        <f t="shared" si="5"/>
        <v>7</v>
      </c>
      <c r="D185" s="5" t="s">
        <v>19</v>
      </c>
      <c r="E185" s="6" t="s">
        <v>26</v>
      </c>
      <c r="F185" s="6" t="s">
        <v>6</v>
      </c>
      <c r="G185" s="6" t="s">
        <v>27</v>
      </c>
      <c r="H185" s="6">
        <v>9</v>
      </c>
      <c r="I185" s="33">
        <v>66.67</v>
      </c>
      <c r="J185" s="36">
        <v>600.03</v>
      </c>
      <c r="M185" s="39"/>
      <c r="R185" s="38"/>
    </row>
    <row r="186" spans="1:18" x14ac:dyDescent="0.2">
      <c r="A186" s="12">
        <v>45842</v>
      </c>
      <c r="B186" s="4">
        <f t="shared" si="4"/>
        <v>2025</v>
      </c>
      <c r="C186" s="4">
        <f t="shared" si="5"/>
        <v>7</v>
      </c>
      <c r="D186" s="5" t="s">
        <v>8</v>
      </c>
      <c r="E186" s="6" t="s">
        <v>9</v>
      </c>
      <c r="F186" s="6" t="s">
        <v>33</v>
      </c>
      <c r="G186" s="6" t="s">
        <v>40</v>
      </c>
      <c r="H186" s="6">
        <v>5</v>
      </c>
      <c r="I186" s="33">
        <v>41.8</v>
      </c>
      <c r="J186" s="36">
        <v>209</v>
      </c>
      <c r="M186" s="39"/>
      <c r="R186" s="38"/>
    </row>
    <row r="187" spans="1:18" x14ac:dyDescent="0.2">
      <c r="A187" s="12">
        <v>45843</v>
      </c>
      <c r="B187" s="4">
        <f t="shared" si="4"/>
        <v>2025</v>
      </c>
      <c r="C187" s="4">
        <f t="shared" si="5"/>
        <v>7</v>
      </c>
      <c r="D187" s="5" t="s">
        <v>11</v>
      </c>
      <c r="E187" s="6" t="s">
        <v>5</v>
      </c>
      <c r="F187" s="6" t="s">
        <v>35</v>
      </c>
      <c r="G187" s="6" t="s">
        <v>43</v>
      </c>
      <c r="H187" s="6">
        <v>5</v>
      </c>
      <c r="I187" s="33">
        <v>461.91</v>
      </c>
      <c r="J187" s="36">
        <v>2309.5500000000002</v>
      </c>
      <c r="M187" s="39"/>
      <c r="R187" s="38"/>
    </row>
    <row r="188" spans="1:18" x14ac:dyDescent="0.2">
      <c r="A188" s="12">
        <v>45844</v>
      </c>
      <c r="B188" s="4">
        <f t="shared" si="4"/>
        <v>2025</v>
      </c>
      <c r="C188" s="4">
        <f t="shared" si="5"/>
        <v>7</v>
      </c>
      <c r="D188" s="5" t="s">
        <v>19</v>
      </c>
      <c r="E188" s="6" t="s">
        <v>9</v>
      </c>
      <c r="F188" s="6" t="s">
        <v>2</v>
      </c>
      <c r="G188" s="6" t="s">
        <v>10</v>
      </c>
      <c r="H188" s="6">
        <v>5</v>
      </c>
      <c r="I188" s="33">
        <v>951.61</v>
      </c>
      <c r="J188" s="36">
        <v>4758.05</v>
      </c>
      <c r="M188" s="39"/>
      <c r="R188" s="38"/>
    </row>
    <row r="189" spans="1:18" x14ac:dyDescent="0.2">
      <c r="A189" s="12">
        <v>45845</v>
      </c>
      <c r="B189" s="4">
        <f t="shared" si="4"/>
        <v>2025</v>
      </c>
      <c r="C189" s="4">
        <f t="shared" si="5"/>
        <v>7</v>
      </c>
      <c r="D189" s="5" t="s">
        <v>4</v>
      </c>
      <c r="E189" s="6" t="s">
        <v>12</v>
      </c>
      <c r="F189" s="6" t="s">
        <v>2</v>
      </c>
      <c r="G189" s="6" t="s">
        <v>14</v>
      </c>
      <c r="H189" s="6">
        <v>6</v>
      </c>
      <c r="I189" s="33">
        <v>1232.6099999999999</v>
      </c>
      <c r="J189" s="36">
        <v>7395.66</v>
      </c>
      <c r="M189" s="39"/>
      <c r="R189" s="38"/>
    </row>
    <row r="190" spans="1:18" x14ac:dyDescent="0.2">
      <c r="A190" s="12">
        <v>45846</v>
      </c>
      <c r="B190" s="4">
        <f t="shared" si="4"/>
        <v>2025</v>
      </c>
      <c r="C190" s="4">
        <f t="shared" si="5"/>
        <v>7</v>
      </c>
      <c r="D190" s="5" t="s">
        <v>8</v>
      </c>
      <c r="E190" s="6" t="s">
        <v>9</v>
      </c>
      <c r="F190" s="6" t="s">
        <v>35</v>
      </c>
      <c r="G190" s="6" t="s">
        <v>18</v>
      </c>
      <c r="H190" s="6">
        <v>5</v>
      </c>
      <c r="I190" s="33">
        <v>780.75</v>
      </c>
      <c r="J190" s="36">
        <v>3903.75</v>
      </c>
      <c r="M190" s="39"/>
      <c r="R190" s="38"/>
    </row>
    <row r="191" spans="1:18" x14ac:dyDescent="0.2">
      <c r="A191" s="12">
        <v>45847</v>
      </c>
      <c r="B191" s="4">
        <f t="shared" si="4"/>
        <v>2025</v>
      </c>
      <c r="C191" s="4">
        <f t="shared" si="5"/>
        <v>7</v>
      </c>
      <c r="D191" s="5" t="s">
        <v>19</v>
      </c>
      <c r="E191" s="6" t="s">
        <v>1</v>
      </c>
      <c r="F191" s="6" t="s">
        <v>2</v>
      </c>
      <c r="G191" s="6" t="s">
        <v>3</v>
      </c>
      <c r="H191" s="6">
        <v>5</v>
      </c>
      <c r="I191" s="33">
        <v>741.27</v>
      </c>
      <c r="J191" s="36">
        <v>3706.35</v>
      </c>
      <c r="M191" s="39"/>
      <c r="R191" s="38"/>
    </row>
    <row r="192" spans="1:18" x14ac:dyDescent="0.2">
      <c r="A192" s="12">
        <v>45848</v>
      </c>
      <c r="B192" s="4">
        <f t="shared" si="4"/>
        <v>2025</v>
      </c>
      <c r="C192" s="4">
        <f t="shared" si="5"/>
        <v>7</v>
      </c>
      <c r="D192" s="5" t="s">
        <v>8</v>
      </c>
      <c r="E192" s="6" t="s">
        <v>9</v>
      </c>
      <c r="F192" s="6" t="s">
        <v>35</v>
      </c>
      <c r="G192" s="6" t="s">
        <v>41</v>
      </c>
      <c r="H192" s="6">
        <v>1</v>
      </c>
      <c r="I192" s="33">
        <v>1485.35</v>
      </c>
      <c r="J192" s="36">
        <v>1485.35</v>
      </c>
      <c r="M192" s="39"/>
      <c r="R192" s="38"/>
    </row>
    <row r="193" spans="1:18" x14ac:dyDescent="0.2">
      <c r="A193" s="12">
        <v>45849</v>
      </c>
      <c r="B193" s="4">
        <f t="shared" si="4"/>
        <v>2025</v>
      </c>
      <c r="C193" s="4">
        <f t="shared" si="5"/>
        <v>7</v>
      </c>
      <c r="D193" s="5" t="s">
        <v>8</v>
      </c>
      <c r="E193" s="6" t="s">
        <v>1</v>
      </c>
      <c r="F193" s="6" t="s">
        <v>33</v>
      </c>
      <c r="G193" s="6" t="s">
        <v>34</v>
      </c>
      <c r="H193" s="6">
        <v>3</v>
      </c>
      <c r="I193" s="33">
        <v>1081.54</v>
      </c>
      <c r="J193" s="36">
        <v>3244.62</v>
      </c>
      <c r="M193" s="39"/>
      <c r="R193" s="38"/>
    </row>
    <row r="194" spans="1:18" x14ac:dyDescent="0.2">
      <c r="A194" s="12">
        <v>45850</v>
      </c>
      <c r="B194" s="4">
        <f t="shared" si="4"/>
        <v>2025</v>
      </c>
      <c r="C194" s="4">
        <f t="shared" si="5"/>
        <v>7</v>
      </c>
      <c r="D194" s="5" t="s">
        <v>4</v>
      </c>
      <c r="E194" s="6" t="s">
        <v>5</v>
      </c>
      <c r="F194" s="6" t="s">
        <v>33</v>
      </c>
      <c r="G194" s="6" t="s">
        <v>7</v>
      </c>
      <c r="H194" s="6">
        <v>2</v>
      </c>
      <c r="I194" s="33">
        <v>791.51</v>
      </c>
      <c r="J194" s="36">
        <v>1583.02</v>
      </c>
      <c r="M194" s="39"/>
      <c r="R194" s="38"/>
    </row>
    <row r="195" spans="1:18" x14ac:dyDescent="0.2">
      <c r="A195" s="12">
        <v>45851</v>
      </c>
      <c r="B195" s="4">
        <f t="shared" ref="B195:B258" si="6">YEAR(A195)</f>
        <v>2025</v>
      </c>
      <c r="C195" s="4">
        <f t="shared" ref="C195:C258" si="7">MONTH(A195)</f>
        <v>7</v>
      </c>
      <c r="D195" s="5" t="s">
        <v>4</v>
      </c>
      <c r="E195" s="6" t="s">
        <v>21</v>
      </c>
      <c r="F195" s="6" t="s">
        <v>2</v>
      </c>
      <c r="G195" s="6" t="s">
        <v>42</v>
      </c>
      <c r="H195" s="6">
        <v>5</v>
      </c>
      <c r="I195" s="33">
        <v>836.01</v>
      </c>
      <c r="J195" s="36">
        <v>4180.05</v>
      </c>
      <c r="M195" s="39"/>
      <c r="R195" s="38"/>
    </row>
    <row r="196" spans="1:18" x14ac:dyDescent="0.2">
      <c r="A196" s="12">
        <v>45852</v>
      </c>
      <c r="B196" s="4">
        <f t="shared" si="6"/>
        <v>2025</v>
      </c>
      <c r="C196" s="4">
        <f t="shared" si="7"/>
        <v>7</v>
      </c>
      <c r="D196" s="5" t="s">
        <v>11</v>
      </c>
      <c r="E196" s="6" t="s">
        <v>21</v>
      </c>
      <c r="F196" s="6" t="s">
        <v>23</v>
      </c>
      <c r="G196" s="6" t="s">
        <v>28</v>
      </c>
      <c r="H196" s="6">
        <v>9</v>
      </c>
      <c r="I196" s="33">
        <v>717.73</v>
      </c>
      <c r="J196" s="36">
        <v>6459.57</v>
      </c>
      <c r="M196" s="39"/>
      <c r="R196" s="38"/>
    </row>
    <row r="197" spans="1:18" x14ac:dyDescent="0.2">
      <c r="A197" s="12">
        <v>45853</v>
      </c>
      <c r="B197" s="4">
        <f t="shared" si="6"/>
        <v>2025</v>
      </c>
      <c r="C197" s="4">
        <f t="shared" si="7"/>
        <v>7</v>
      </c>
      <c r="D197" s="5" t="s">
        <v>11</v>
      </c>
      <c r="E197" s="6" t="s">
        <v>26</v>
      </c>
      <c r="F197" s="6" t="s">
        <v>6</v>
      </c>
      <c r="G197" s="6" t="s">
        <v>39</v>
      </c>
      <c r="H197" s="6">
        <v>7</v>
      </c>
      <c r="I197" s="33">
        <v>1426.46</v>
      </c>
      <c r="J197" s="36">
        <v>9985.2199999999993</v>
      </c>
      <c r="M197" s="39"/>
      <c r="R197" s="38"/>
    </row>
    <row r="198" spans="1:18" x14ac:dyDescent="0.2">
      <c r="A198" s="12">
        <v>45854</v>
      </c>
      <c r="B198" s="4">
        <f t="shared" si="6"/>
        <v>2025</v>
      </c>
      <c r="C198" s="4">
        <f t="shared" si="7"/>
        <v>7</v>
      </c>
      <c r="D198" s="5" t="s">
        <v>19</v>
      </c>
      <c r="E198" s="6" t="s">
        <v>12</v>
      </c>
      <c r="F198" s="6" t="s">
        <v>38</v>
      </c>
      <c r="G198" s="6" t="s">
        <v>31</v>
      </c>
      <c r="H198" s="6">
        <v>2</v>
      </c>
      <c r="I198" s="33">
        <v>1499.62</v>
      </c>
      <c r="J198" s="36">
        <v>2999.24</v>
      </c>
      <c r="M198" s="39"/>
      <c r="R198" s="38"/>
    </row>
    <row r="199" spans="1:18" x14ac:dyDescent="0.2">
      <c r="A199" s="12">
        <v>45855</v>
      </c>
      <c r="B199" s="4">
        <f t="shared" si="6"/>
        <v>2025</v>
      </c>
      <c r="C199" s="4">
        <f t="shared" si="7"/>
        <v>7</v>
      </c>
      <c r="D199" s="5" t="s">
        <v>8</v>
      </c>
      <c r="E199" s="6" t="s">
        <v>1</v>
      </c>
      <c r="F199" s="6" t="s">
        <v>13</v>
      </c>
      <c r="G199" s="6" t="s">
        <v>34</v>
      </c>
      <c r="H199" s="6">
        <v>3</v>
      </c>
      <c r="I199" s="33">
        <v>154.88999999999999</v>
      </c>
      <c r="J199" s="36">
        <v>464.67</v>
      </c>
      <c r="M199" s="39"/>
      <c r="R199" s="38"/>
    </row>
    <row r="200" spans="1:18" x14ac:dyDescent="0.2">
      <c r="A200" s="12">
        <v>45856</v>
      </c>
      <c r="B200" s="4">
        <f t="shared" si="6"/>
        <v>2025</v>
      </c>
      <c r="C200" s="4">
        <f t="shared" si="7"/>
        <v>7</v>
      </c>
      <c r="D200" s="5" t="s">
        <v>4</v>
      </c>
      <c r="E200" s="6" t="s">
        <v>12</v>
      </c>
      <c r="F200" s="6" t="s">
        <v>38</v>
      </c>
      <c r="G200" s="6" t="s">
        <v>20</v>
      </c>
      <c r="H200" s="6">
        <v>4</v>
      </c>
      <c r="I200" s="33">
        <v>1409.34</v>
      </c>
      <c r="J200" s="36">
        <v>5637.36</v>
      </c>
      <c r="M200" s="39"/>
      <c r="R200" s="38"/>
    </row>
    <row r="201" spans="1:18" x14ac:dyDescent="0.2">
      <c r="A201" s="12">
        <v>45857</v>
      </c>
      <c r="B201" s="4">
        <f t="shared" si="6"/>
        <v>2025</v>
      </c>
      <c r="C201" s="4">
        <f t="shared" si="7"/>
        <v>7</v>
      </c>
      <c r="D201" s="5" t="s">
        <v>11</v>
      </c>
      <c r="E201" s="6" t="s">
        <v>12</v>
      </c>
      <c r="F201" s="6" t="s">
        <v>6</v>
      </c>
      <c r="G201" s="6" t="s">
        <v>31</v>
      </c>
      <c r="H201" s="6">
        <v>8</v>
      </c>
      <c r="I201" s="33">
        <v>1146.4100000000001</v>
      </c>
      <c r="J201" s="36">
        <v>9171.2800000000007</v>
      </c>
      <c r="M201" s="39"/>
      <c r="R201" s="38"/>
    </row>
    <row r="202" spans="1:18" x14ac:dyDescent="0.2">
      <c r="A202" s="12">
        <v>45858</v>
      </c>
      <c r="B202" s="4">
        <f t="shared" si="6"/>
        <v>2025</v>
      </c>
      <c r="C202" s="4">
        <f t="shared" si="7"/>
        <v>7</v>
      </c>
      <c r="D202" s="5" t="s">
        <v>11</v>
      </c>
      <c r="E202" s="6" t="s">
        <v>5</v>
      </c>
      <c r="F202" s="6" t="s">
        <v>33</v>
      </c>
      <c r="G202" s="6" t="s">
        <v>32</v>
      </c>
      <c r="H202" s="6">
        <v>8</v>
      </c>
      <c r="I202" s="33">
        <v>298.57</v>
      </c>
      <c r="J202" s="36">
        <v>2388.56</v>
      </c>
      <c r="M202" s="39"/>
      <c r="R202" s="38"/>
    </row>
    <row r="203" spans="1:18" x14ac:dyDescent="0.2">
      <c r="A203" s="12">
        <v>45859</v>
      </c>
      <c r="B203" s="4">
        <f t="shared" si="6"/>
        <v>2025</v>
      </c>
      <c r="C203" s="4">
        <f t="shared" si="7"/>
        <v>7</v>
      </c>
      <c r="D203" s="5" t="s">
        <v>11</v>
      </c>
      <c r="E203" s="6" t="s">
        <v>26</v>
      </c>
      <c r="F203" s="6" t="s">
        <v>23</v>
      </c>
      <c r="G203" s="6" t="s">
        <v>39</v>
      </c>
      <c r="H203" s="6">
        <v>6</v>
      </c>
      <c r="I203" s="33">
        <v>1244.3800000000001</v>
      </c>
      <c r="J203" s="36">
        <v>7466.28</v>
      </c>
      <c r="M203" s="39"/>
      <c r="R203" s="38"/>
    </row>
    <row r="204" spans="1:18" x14ac:dyDescent="0.2">
      <c r="A204" s="12">
        <v>45860</v>
      </c>
      <c r="B204" s="4">
        <f t="shared" si="6"/>
        <v>2025</v>
      </c>
      <c r="C204" s="4">
        <f t="shared" si="7"/>
        <v>7</v>
      </c>
      <c r="D204" s="5" t="s">
        <v>0</v>
      </c>
      <c r="E204" s="6" t="s">
        <v>1</v>
      </c>
      <c r="F204" s="6" t="s">
        <v>2</v>
      </c>
      <c r="G204" s="6" t="s">
        <v>48</v>
      </c>
      <c r="H204" s="6">
        <v>1</v>
      </c>
      <c r="I204" s="33">
        <v>423.89</v>
      </c>
      <c r="J204" s="36">
        <v>423.89</v>
      </c>
      <c r="M204" s="39"/>
      <c r="R204" s="38"/>
    </row>
    <row r="205" spans="1:18" x14ac:dyDescent="0.2">
      <c r="A205" s="12">
        <v>45861</v>
      </c>
      <c r="B205" s="4">
        <f t="shared" si="6"/>
        <v>2025</v>
      </c>
      <c r="C205" s="4">
        <f t="shared" si="7"/>
        <v>7</v>
      </c>
      <c r="D205" s="5" t="s">
        <v>0</v>
      </c>
      <c r="E205" s="6" t="s">
        <v>9</v>
      </c>
      <c r="F205" s="6" t="s">
        <v>35</v>
      </c>
      <c r="G205" s="6" t="s">
        <v>18</v>
      </c>
      <c r="H205" s="6">
        <v>9</v>
      </c>
      <c r="I205" s="33">
        <v>708.63</v>
      </c>
      <c r="J205" s="36">
        <v>6377.67</v>
      </c>
      <c r="M205" s="39"/>
      <c r="R205" s="38"/>
    </row>
    <row r="206" spans="1:18" x14ac:dyDescent="0.2">
      <c r="A206" s="12">
        <v>45862</v>
      </c>
      <c r="B206" s="4">
        <f t="shared" si="6"/>
        <v>2025</v>
      </c>
      <c r="C206" s="4">
        <f t="shared" si="7"/>
        <v>7</v>
      </c>
      <c r="D206" s="5" t="s">
        <v>11</v>
      </c>
      <c r="E206" s="6" t="s">
        <v>12</v>
      </c>
      <c r="F206" s="6" t="s">
        <v>16</v>
      </c>
      <c r="G206" s="6" t="s">
        <v>45</v>
      </c>
      <c r="H206" s="6">
        <v>6</v>
      </c>
      <c r="I206" s="33">
        <v>356.97</v>
      </c>
      <c r="J206" s="36">
        <v>2141.8200000000002</v>
      </c>
      <c r="M206" s="39"/>
      <c r="R206" s="38"/>
    </row>
    <row r="207" spans="1:18" x14ac:dyDescent="0.2">
      <c r="A207" s="12">
        <v>45863</v>
      </c>
      <c r="B207" s="4">
        <f t="shared" si="6"/>
        <v>2025</v>
      </c>
      <c r="C207" s="4">
        <f t="shared" si="7"/>
        <v>7</v>
      </c>
      <c r="D207" s="5" t="s">
        <v>0</v>
      </c>
      <c r="E207" s="6" t="s">
        <v>1</v>
      </c>
      <c r="F207" s="6" t="s">
        <v>23</v>
      </c>
      <c r="G207" s="6" t="s">
        <v>3</v>
      </c>
      <c r="H207" s="6">
        <v>5</v>
      </c>
      <c r="I207" s="33">
        <v>1254.18</v>
      </c>
      <c r="J207" s="36">
        <v>6270.9</v>
      </c>
      <c r="M207" s="39"/>
      <c r="R207" s="38"/>
    </row>
    <row r="208" spans="1:18" x14ac:dyDescent="0.2">
      <c r="A208" s="12">
        <v>45864</v>
      </c>
      <c r="B208" s="4">
        <f t="shared" si="6"/>
        <v>2025</v>
      </c>
      <c r="C208" s="4">
        <f t="shared" si="7"/>
        <v>7</v>
      </c>
      <c r="D208" s="5" t="s">
        <v>0</v>
      </c>
      <c r="E208" s="6" t="s">
        <v>9</v>
      </c>
      <c r="F208" s="6" t="s">
        <v>16</v>
      </c>
      <c r="G208" s="6" t="s">
        <v>10</v>
      </c>
      <c r="H208" s="6">
        <v>10</v>
      </c>
      <c r="I208" s="33">
        <v>910.46</v>
      </c>
      <c r="J208" s="36">
        <v>9104.6</v>
      </c>
      <c r="M208" s="39"/>
      <c r="R208" s="38"/>
    </row>
    <row r="209" spans="1:18" x14ac:dyDescent="0.2">
      <c r="A209" s="12">
        <v>45865</v>
      </c>
      <c r="B209" s="4">
        <f t="shared" si="6"/>
        <v>2025</v>
      </c>
      <c r="C209" s="4">
        <f t="shared" si="7"/>
        <v>7</v>
      </c>
      <c r="D209" s="5" t="s">
        <v>0</v>
      </c>
      <c r="E209" s="6" t="s">
        <v>12</v>
      </c>
      <c r="F209" s="6" t="s">
        <v>2</v>
      </c>
      <c r="G209" s="6" t="s">
        <v>44</v>
      </c>
      <c r="H209" s="6">
        <v>3</v>
      </c>
      <c r="I209" s="33">
        <v>89.2</v>
      </c>
      <c r="J209" s="36">
        <v>267.60000000000002</v>
      </c>
      <c r="M209" s="39"/>
      <c r="R209" s="38"/>
    </row>
    <row r="210" spans="1:18" x14ac:dyDescent="0.2">
      <c r="A210" s="12">
        <v>45866</v>
      </c>
      <c r="B210" s="4">
        <f t="shared" si="6"/>
        <v>2025</v>
      </c>
      <c r="C210" s="4">
        <f t="shared" si="7"/>
        <v>7</v>
      </c>
      <c r="D210" s="5" t="s">
        <v>11</v>
      </c>
      <c r="E210" s="6" t="s">
        <v>12</v>
      </c>
      <c r="F210" s="6" t="s">
        <v>2</v>
      </c>
      <c r="G210" s="6" t="s">
        <v>14</v>
      </c>
      <c r="H210" s="6">
        <v>1</v>
      </c>
      <c r="I210" s="33">
        <v>784.12</v>
      </c>
      <c r="J210" s="36">
        <v>784.12</v>
      </c>
      <c r="M210" s="39"/>
      <c r="R210" s="38"/>
    </row>
    <row r="211" spans="1:18" x14ac:dyDescent="0.2">
      <c r="A211" s="12">
        <v>45867</v>
      </c>
      <c r="B211" s="4">
        <f t="shared" si="6"/>
        <v>2025</v>
      </c>
      <c r="C211" s="4">
        <f t="shared" si="7"/>
        <v>7</v>
      </c>
      <c r="D211" s="5" t="s">
        <v>0</v>
      </c>
      <c r="E211" s="6" t="s">
        <v>9</v>
      </c>
      <c r="F211" s="6" t="s">
        <v>6</v>
      </c>
      <c r="G211" s="6" t="s">
        <v>10</v>
      </c>
      <c r="H211" s="6">
        <v>10</v>
      </c>
      <c r="I211" s="33">
        <v>993.99</v>
      </c>
      <c r="J211" s="36">
        <v>9939.9</v>
      </c>
      <c r="M211" s="39"/>
      <c r="R211" s="38"/>
    </row>
    <row r="212" spans="1:18" x14ac:dyDescent="0.2">
      <c r="A212" s="12">
        <v>45868</v>
      </c>
      <c r="B212" s="4">
        <f t="shared" si="6"/>
        <v>2025</v>
      </c>
      <c r="C212" s="4">
        <f t="shared" si="7"/>
        <v>7</v>
      </c>
      <c r="D212" s="5" t="s">
        <v>19</v>
      </c>
      <c r="E212" s="6" t="s">
        <v>9</v>
      </c>
      <c r="F212" s="6" t="s">
        <v>38</v>
      </c>
      <c r="G212" s="6" t="s">
        <v>40</v>
      </c>
      <c r="H212" s="6">
        <v>5</v>
      </c>
      <c r="I212" s="33">
        <v>1144.18</v>
      </c>
      <c r="J212" s="36">
        <v>5720.9</v>
      </c>
      <c r="M212" s="39"/>
      <c r="R212" s="38"/>
    </row>
    <row r="213" spans="1:18" x14ac:dyDescent="0.2">
      <c r="A213" s="12">
        <v>45869</v>
      </c>
      <c r="B213" s="4">
        <f t="shared" si="6"/>
        <v>2025</v>
      </c>
      <c r="C213" s="4">
        <f t="shared" si="7"/>
        <v>7</v>
      </c>
      <c r="D213" s="5" t="s">
        <v>8</v>
      </c>
      <c r="E213" s="6" t="s">
        <v>9</v>
      </c>
      <c r="F213" s="6" t="s">
        <v>33</v>
      </c>
      <c r="G213" s="6" t="s">
        <v>41</v>
      </c>
      <c r="H213" s="6">
        <v>3</v>
      </c>
      <c r="I213" s="33">
        <v>59.73</v>
      </c>
      <c r="J213" s="36">
        <v>179.19</v>
      </c>
      <c r="M213" s="39"/>
      <c r="R213" s="38"/>
    </row>
    <row r="214" spans="1:18" x14ac:dyDescent="0.2">
      <c r="A214" s="12">
        <v>45870</v>
      </c>
      <c r="B214" s="4">
        <f t="shared" si="6"/>
        <v>2025</v>
      </c>
      <c r="C214" s="4">
        <f t="shared" si="7"/>
        <v>8</v>
      </c>
      <c r="D214" s="5" t="s">
        <v>11</v>
      </c>
      <c r="E214" s="6" t="s">
        <v>12</v>
      </c>
      <c r="F214" s="6" t="s">
        <v>2</v>
      </c>
      <c r="G214" s="6" t="s">
        <v>14</v>
      </c>
      <c r="H214" s="6">
        <v>4</v>
      </c>
      <c r="I214" s="33">
        <v>1004.96</v>
      </c>
      <c r="J214" s="36">
        <v>4019.84</v>
      </c>
      <c r="M214" s="39"/>
      <c r="R214" s="38"/>
    </row>
    <row r="215" spans="1:18" x14ac:dyDescent="0.2">
      <c r="A215" s="12">
        <v>45871</v>
      </c>
      <c r="B215" s="4">
        <f t="shared" si="6"/>
        <v>2025</v>
      </c>
      <c r="C215" s="4">
        <f t="shared" si="7"/>
        <v>8</v>
      </c>
      <c r="D215" s="5" t="s">
        <v>19</v>
      </c>
      <c r="E215" s="6" t="s">
        <v>21</v>
      </c>
      <c r="F215" s="6" t="s">
        <v>33</v>
      </c>
      <c r="G215" s="6" t="s">
        <v>46</v>
      </c>
      <c r="H215" s="6">
        <v>8</v>
      </c>
      <c r="I215" s="33">
        <v>1171.26</v>
      </c>
      <c r="J215" s="36">
        <v>9370.08</v>
      </c>
      <c r="M215" s="39"/>
      <c r="R215" s="38"/>
    </row>
    <row r="216" spans="1:18" x14ac:dyDescent="0.2">
      <c r="A216" s="12">
        <v>45872</v>
      </c>
      <c r="B216" s="4">
        <f t="shared" si="6"/>
        <v>2025</v>
      </c>
      <c r="C216" s="4">
        <f t="shared" si="7"/>
        <v>8</v>
      </c>
      <c r="D216" s="5" t="s">
        <v>0</v>
      </c>
      <c r="E216" s="6" t="s">
        <v>26</v>
      </c>
      <c r="F216" s="6" t="s">
        <v>23</v>
      </c>
      <c r="G216" s="6" t="s">
        <v>47</v>
      </c>
      <c r="H216" s="6">
        <v>9</v>
      </c>
      <c r="I216" s="33">
        <v>198.88</v>
      </c>
      <c r="J216" s="36">
        <v>1789.92</v>
      </c>
      <c r="M216" s="39"/>
      <c r="R216" s="38"/>
    </row>
    <row r="217" spans="1:18" x14ac:dyDescent="0.2">
      <c r="A217" s="12">
        <v>45873</v>
      </c>
      <c r="B217" s="4">
        <f t="shared" si="6"/>
        <v>2025</v>
      </c>
      <c r="C217" s="4">
        <f t="shared" si="7"/>
        <v>8</v>
      </c>
      <c r="D217" s="5" t="s">
        <v>11</v>
      </c>
      <c r="E217" s="6" t="s">
        <v>5</v>
      </c>
      <c r="F217" s="6" t="s">
        <v>6</v>
      </c>
      <c r="G217" s="6" t="s">
        <v>7</v>
      </c>
      <c r="H217" s="6">
        <v>7</v>
      </c>
      <c r="I217" s="33">
        <v>1445.49</v>
      </c>
      <c r="J217" s="36">
        <v>10118.43</v>
      </c>
      <c r="M217" s="39"/>
      <c r="R217" s="38"/>
    </row>
    <row r="218" spans="1:18" x14ac:dyDescent="0.2">
      <c r="A218" s="12">
        <v>45874</v>
      </c>
      <c r="B218" s="4">
        <f t="shared" si="6"/>
        <v>2025</v>
      </c>
      <c r="C218" s="4">
        <f t="shared" si="7"/>
        <v>8</v>
      </c>
      <c r="D218" s="5" t="s">
        <v>8</v>
      </c>
      <c r="E218" s="6" t="s">
        <v>1</v>
      </c>
      <c r="F218" s="6" t="s">
        <v>35</v>
      </c>
      <c r="G218" s="6" t="s">
        <v>25</v>
      </c>
      <c r="H218" s="6">
        <v>3</v>
      </c>
      <c r="I218" s="33">
        <v>1358.17</v>
      </c>
      <c r="J218" s="36">
        <v>4074.51</v>
      </c>
      <c r="M218" s="39"/>
      <c r="R218" s="38"/>
    </row>
    <row r="219" spans="1:18" x14ac:dyDescent="0.2">
      <c r="A219" s="12">
        <v>45875</v>
      </c>
      <c r="B219" s="4">
        <f t="shared" si="6"/>
        <v>2025</v>
      </c>
      <c r="C219" s="4">
        <f t="shared" si="7"/>
        <v>8</v>
      </c>
      <c r="D219" s="5" t="s">
        <v>19</v>
      </c>
      <c r="E219" s="6" t="s">
        <v>9</v>
      </c>
      <c r="F219" s="6" t="s">
        <v>2</v>
      </c>
      <c r="G219" s="6" t="s">
        <v>10</v>
      </c>
      <c r="H219" s="6">
        <v>6</v>
      </c>
      <c r="I219" s="33">
        <v>1155.1199999999999</v>
      </c>
      <c r="J219" s="36">
        <v>6930.72</v>
      </c>
      <c r="M219" s="39"/>
      <c r="R219" s="38"/>
    </row>
    <row r="220" spans="1:18" x14ac:dyDescent="0.2">
      <c r="A220" s="12">
        <v>45876</v>
      </c>
      <c r="B220" s="4">
        <f t="shared" si="6"/>
        <v>2025</v>
      </c>
      <c r="C220" s="4">
        <f t="shared" si="7"/>
        <v>8</v>
      </c>
      <c r="D220" s="5" t="s">
        <v>11</v>
      </c>
      <c r="E220" s="6" t="s">
        <v>5</v>
      </c>
      <c r="F220" s="6" t="s">
        <v>23</v>
      </c>
      <c r="G220" s="6" t="s">
        <v>32</v>
      </c>
      <c r="H220" s="6">
        <v>6</v>
      </c>
      <c r="I220" s="33">
        <v>258.88</v>
      </c>
      <c r="J220" s="36">
        <v>1553.28</v>
      </c>
      <c r="M220" s="39"/>
      <c r="R220" s="38"/>
    </row>
    <row r="221" spans="1:18" x14ac:dyDescent="0.2">
      <c r="A221" s="12">
        <v>45877</v>
      </c>
      <c r="B221" s="4">
        <f t="shared" si="6"/>
        <v>2025</v>
      </c>
      <c r="C221" s="4">
        <f t="shared" si="7"/>
        <v>8</v>
      </c>
      <c r="D221" s="5" t="s">
        <v>11</v>
      </c>
      <c r="E221" s="6" t="s">
        <v>21</v>
      </c>
      <c r="F221" s="6" t="s">
        <v>23</v>
      </c>
      <c r="G221" s="6" t="s">
        <v>22</v>
      </c>
      <c r="H221" s="6">
        <v>3</v>
      </c>
      <c r="I221" s="33">
        <v>703.91</v>
      </c>
      <c r="J221" s="36">
        <v>2111.73</v>
      </c>
      <c r="M221" s="39"/>
      <c r="R221" s="38"/>
    </row>
    <row r="222" spans="1:18" x14ac:dyDescent="0.2">
      <c r="A222" s="12">
        <v>45878</v>
      </c>
      <c r="B222" s="4">
        <f t="shared" si="6"/>
        <v>2025</v>
      </c>
      <c r="C222" s="4">
        <f t="shared" si="7"/>
        <v>8</v>
      </c>
      <c r="D222" s="5" t="s">
        <v>8</v>
      </c>
      <c r="E222" s="6" t="s">
        <v>1</v>
      </c>
      <c r="F222" s="6" t="s">
        <v>23</v>
      </c>
      <c r="G222" s="6" t="s">
        <v>34</v>
      </c>
      <c r="H222" s="6">
        <v>6</v>
      </c>
      <c r="I222" s="33">
        <v>740.1</v>
      </c>
      <c r="J222" s="36">
        <v>4440.6000000000004</v>
      </c>
      <c r="M222" s="39"/>
      <c r="R222" s="38"/>
    </row>
    <row r="223" spans="1:18" x14ac:dyDescent="0.2">
      <c r="A223" s="12">
        <v>45879</v>
      </c>
      <c r="B223" s="4">
        <f t="shared" si="6"/>
        <v>2025</v>
      </c>
      <c r="C223" s="4">
        <f t="shared" si="7"/>
        <v>8</v>
      </c>
      <c r="D223" s="5" t="s">
        <v>11</v>
      </c>
      <c r="E223" s="6" t="s">
        <v>5</v>
      </c>
      <c r="F223" s="6" t="s">
        <v>38</v>
      </c>
      <c r="G223" s="6" t="s">
        <v>7</v>
      </c>
      <c r="H223" s="6">
        <v>6</v>
      </c>
      <c r="I223" s="33">
        <v>133.55000000000001</v>
      </c>
      <c r="J223" s="36">
        <v>801.3</v>
      </c>
      <c r="M223" s="39"/>
      <c r="R223" s="38"/>
    </row>
    <row r="224" spans="1:18" x14ac:dyDescent="0.2">
      <c r="A224" s="12">
        <v>45880</v>
      </c>
      <c r="B224" s="4">
        <f t="shared" si="6"/>
        <v>2025</v>
      </c>
      <c r="C224" s="4">
        <f t="shared" si="7"/>
        <v>8</v>
      </c>
      <c r="D224" s="5" t="s">
        <v>4</v>
      </c>
      <c r="E224" s="6" t="s">
        <v>26</v>
      </c>
      <c r="F224" s="6" t="s">
        <v>6</v>
      </c>
      <c r="G224" s="6" t="s">
        <v>39</v>
      </c>
      <c r="H224" s="6">
        <v>4</v>
      </c>
      <c r="I224" s="33">
        <v>557.94000000000005</v>
      </c>
      <c r="J224" s="36">
        <v>2231.7600000000002</v>
      </c>
      <c r="M224" s="39"/>
      <c r="R224" s="38"/>
    </row>
    <row r="225" spans="1:18" x14ac:dyDescent="0.2">
      <c r="A225" s="12">
        <v>45881</v>
      </c>
      <c r="B225" s="4">
        <f t="shared" si="6"/>
        <v>2025</v>
      </c>
      <c r="C225" s="4">
        <f t="shared" si="7"/>
        <v>8</v>
      </c>
      <c r="D225" s="5" t="s">
        <v>4</v>
      </c>
      <c r="E225" s="6" t="s">
        <v>26</v>
      </c>
      <c r="F225" s="6" t="s">
        <v>16</v>
      </c>
      <c r="G225" s="6" t="s">
        <v>39</v>
      </c>
      <c r="H225" s="6">
        <v>7</v>
      </c>
      <c r="I225" s="33">
        <v>714.73</v>
      </c>
      <c r="J225" s="36">
        <v>5003.1099999999997</v>
      </c>
      <c r="M225" s="39"/>
      <c r="R225" s="38"/>
    </row>
    <row r="226" spans="1:18" x14ac:dyDescent="0.2">
      <c r="A226" s="12">
        <v>45882</v>
      </c>
      <c r="B226" s="4">
        <f t="shared" si="6"/>
        <v>2025</v>
      </c>
      <c r="C226" s="4">
        <f t="shared" si="7"/>
        <v>8</v>
      </c>
      <c r="D226" s="5" t="s">
        <v>19</v>
      </c>
      <c r="E226" s="6" t="s">
        <v>12</v>
      </c>
      <c r="F226" s="6" t="s">
        <v>6</v>
      </c>
      <c r="G226" s="6" t="s">
        <v>14</v>
      </c>
      <c r="H226" s="6">
        <v>3</v>
      </c>
      <c r="I226" s="33">
        <v>167.52</v>
      </c>
      <c r="J226" s="36">
        <v>502.56</v>
      </c>
      <c r="M226" s="39"/>
      <c r="R226" s="38"/>
    </row>
    <row r="227" spans="1:18" x14ac:dyDescent="0.2">
      <c r="A227" s="12">
        <v>45883</v>
      </c>
      <c r="B227" s="4">
        <f t="shared" si="6"/>
        <v>2025</v>
      </c>
      <c r="C227" s="4">
        <f t="shared" si="7"/>
        <v>8</v>
      </c>
      <c r="D227" s="5" t="s">
        <v>19</v>
      </c>
      <c r="E227" s="6" t="s">
        <v>9</v>
      </c>
      <c r="F227" s="6" t="s">
        <v>13</v>
      </c>
      <c r="G227" s="6" t="s">
        <v>41</v>
      </c>
      <c r="H227" s="6">
        <v>8</v>
      </c>
      <c r="I227" s="33">
        <v>1167.1600000000001</v>
      </c>
      <c r="J227" s="36">
        <v>9337.2800000000007</v>
      </c>
      <c r="M227" s="39"/>
      <c r="R227" s="38"/>
    </row>
    <row r="228" spans="1:18" x14ac:dyDescent="0.2">
      <c r="A228" s="12">
        <v>45884</v>
      </c>
      <c r="B228" s="4">
        <f t="shared" si="6"/>
        <v>2025</v>
      </c>
      <c r="C228" s="4">
        <f t="shared" si="7"/>
        <v>8</v>
      </c>
      <c r="D228" s="5" t="s">
        <v>19</v>
      </c>
      <c r="E228" s="6" t="s">
        <v>1</v>
      </c>
      <c r="F228" s="6" t="s">
        <v>2</v>
      </c>
      <c r="G228" s="6" t="s">
        <v>25</v>
      </c>
      <c r="H228" s="6">
        <v>4</v>
      </c>
      <c r="I228" s="33">
        <v>1063.99</v>
      </c>
      <c r="J228" s="36">
        <v>4255.96</v>
      </c>
      <c r="M228" s="39"/>
      <c r="R228" s="38"/>
    </row>
    <row r="229" spans="1:18" x14ac:dyDescent="0.2">
      <c r="A229" s="12">
        <v>45885</v>
      </c>
      <c r="B229" s="4">
        <f t="shared" si="6"/>
        <v>2025</v>
      </c>
      <c r="C229" s="4">
        <f t="shared" si="7"/>
        <v>8</v>
      </c>
      <c r="D229" s="5" t="s">
        <v>8</v>
      </c>
      <c r="E229" s="6" t="s">
        <v>1</v>
      </c>
      <c r="F229" s="6" t="s">
        <v>6</v>
      </c>
      <c r="G229" s="6" t="s">
        <v>48</v>
      </c>
      <c r="H229" s="6">
        <v>6</v>
      </c>
      <c r="I229" s="33">
        <v>1075.54</v>
      </c>
      <c r="J229" s="36">
        <v>6453.24</v>
      </c>
      <c r="M229" s="39"/>
      <c r="R229" s="38"/>
    </row>
    <row r="230" spans="1:18" x14ac:dyDescent="0.2">
      <c r="A230" s="12">
        <v>45886</v>
      </c>
      <c r="B230" s="4">
        <f t="shared" si="6"/>
        <v>2025</v>
      </c>
      <c r="C230" s="4">
        <f t="shared" si="7"/>
        <v>8</v>
      </c>
      <c r="D230" s="5" t="s">
        <v>0</v>
      </c>
      <c r="E230" s="6" t="s">
        <v>5</v>
      </c>
      <c r="F230" s="6" t="s">
        <v>35</v>
      </c>
      <c r="G230" s="6" t="s">
        <v>7</v>
      </c>
      <c r="H230" s="6">
        <v>8</v>
      </c>
      <c r="I230" s="33">
        <v>923.37</v>
      </c>
      <c r="J230" s="36">
        <v>7386.96</v>
      </c>
      <c r="M230" s="39"/>
      <c r="R230" s="38"/>
    </row>
    <row r="231" spans="1:18" x14ac:dyDescent="0.2">
      <c r="A231" s="12">
        <v>45887</v>
      </c>
      <c r="B231" s="4">
        <f t="shared" si="6"/>
        <v>2025</v>
      </c>
      <c r="C231" s="4">
        <f t="shared" si="7"/>
        <v>8</v>
      </c>
      <c r="D231" s="5" t="s">
        <v>4</v>
      </c>
      <c r="E231" s="6" t="s">
        <v>26</v>
      </c>
      <c r="F231" s="6" t="s">
        <v>33</v>
      </c>
      <c r="G231" s="6" t="s">
        <v>27</v>
      </c>
      <c r="H231" s="6">
        <v>8</v>
      </c>
      <c r="I231" s="33">
        <v>475.1</v>
      </c>
      <c r="J231" s="36">
        <v>3800.8</v>
      </c>
      <c r="M231" s="39"/>
      <c r="R231" s="38"/>
    </row>
    <row r="232" spans="1:18" x14ac:dyDescent="0.2">
      <c r="A232" s="12">
        <v>45888</v>
      </c>
      <c r="B232" s="4">
        <f t="shared" si="6"/>
        <v>2025</v>
      </c>
      <c r="C232" s="4">
        <f t="shared" si="7"/>
        <v>8</v>
      </c>
      <c r="D232" s="5" t="s">
        <v>0</v>
      </c>
      <c r="E232" s="6" t="s">
        <v>26</v>
      </c>
      <c r="F232" s="6" t="s">
        <v>23</v>
      </c>
      <c r="G232" s="6" t="s">
        <v>39</v>
      </c>
      <c r="H232" s="6">
        <v>6</v>
      </c>
      <c r="I232" s="33">
        <v>1303.92</v>
      </c>
      <c r="J232" s="36">
        <v>7823.52</v>
      </c>
      <c r="M232" s="39"/>
      <c r="R232" s="38"/>
    </row>
    <row r="233" spans="1:18" x14ac:dyDescent="0.2">
      <c r="A233" s="12">
        <v>45889</v>
      </c>
      <c r="B233" s="4">
        <f t="shared" si="6"/>
        <v>2025</v>
      </c>
      <c r="C233" s="4">
        <f t="shared" si="7"/>
        <v>8</v>
      </c>
      <c r="D233" s="5" t="s">
        <v>11</v>
      </c>
      <c r="E233" s="6" t="s">
        <v>5</v>
      </c>
      <c r="F233" s="6" t="s">
        <v>38</v>
      </c>
      <c r="G233" s="6" t="s">
        <v>15</v>
      </c>
      <c r="H233" s="6">
        <v>8</v>
      </c>
      <c r="I233" s="33">
        <v>377.52</v>
      </c>
      <c r="J233" s="36">
        <v>3020.16</v>
      </c>
      <c r="M233" s="39"/>
      <c r="R233" s="38"/>
    </row>
    <row r="234" spans="1:18" x14ac:dyDescent="0.2">
      <c r="A234" s="12">
        <v>45890</v>
      </c>
      <c r="B234" s="4">
        <f t="shared" si="6"/>
        <v>2025</v>
      </c>
      <c r="C234" s="4">
        <f t="shared" si="7"/>
        <v>8</v>
      </c>
      <c r="D234" s="5" t="s">
        <v>8</v>
      </c>
      <c r="E234" s="6" t="s">
        <v>26</v>
      </c>
      <c r="F234" s="6" t="s">
        <v>16</v>
      </c>
      <c r="G234" s="6" t="s">
        <v>30</v>
      </c>
      <c r="H234" s="6">
        <v>7</v>
      </c>
      <c r="I234" s="33">
        <v>441.72</v>
      </c>
      <c r="J234" s="36">
        <v>3092.04</v>
      </c>
      <c r="M234" s="39"/>
      <c r="R234" s="38"/>
    </row>
    <row r="235" spans="1:18" x14ac:dyDescent="0.2">
      <c r="A235" s="12">
        <v>45891</v>
      </c>
      <c r="B235" s="4">
        <f t="shared" si="6"/>
        <v>2025</v>
      </c>
      <c r="C235" s="4">
        <f t="shared" si="7"/>
        <v>8</v>
      </c>
      <c r="D235" s="5" t="s">
        <v>4</v>
      </c>
      <c r="E235" s="6" t="s">
        <v>26</v>
      </c>
      <c r="F235" s="6" t="s">
        <v>23</v>
      </c>
      <c r="G235" s="6" t="s">
        <v>30</v>
      </c>
      <c r="H235" s="6">
        <v>6</v>
      </c>
      <c r="I235" s="33">
        <v>427.5</v>
      </c>
      <c r="J235" s="36">
        <v>2565</v>
      </c>
      <c r="M235" s="39"/>
      <c r="R235" s="38"/>
    </row>
    <row r="236" spans="1:18" x14ac:dyDescent="0.2">
      <c r="A236" s="12">
        <v>45892</v>
      </c>
      <c r="B236" s="4">
        <f t="shared" si="6"/>
        <v>2025</v>
      </c>
      <c r="C236" s="4">
        <f t="shared" si="7"/>
        <v>8</v>
      </c>
      <c r="D236" s="5" t="s">
        <v>8</v>
      </c>
      <c r="E236" s="6" t="s">
        <v>1</v>
      </c>
      <c r="F236" s="6" t="s">
        <v>16</v>
      </c>
      <c r="G236" s="6" t="s">
        <v>34</v>
      </c>
      <c r="H236" s="6">
        <v>10</v>
      </c>
      <c r="I236" s="33">
        <v>246.03</v>
      </c>
      <c r="J236" s="36">
        <v>2460.3000000000002</v>
      </c>
      <c r="M236" s="39"/>
      <c r="R236" s="38"/>
    </row>
    <row r="237" spans="1:18" x14ac:dyDescent="0.2">
      <c r="A237" s="12">
        <v>45893</v>
      </c>
      <c r="B237" s="4">
        <f t="shared" si="6"/>
        <v>2025</v>
      </c>
      <c r="C237" s="4">
        <f t="shared" si="7"/>
        <v>8</v>
      </c>
      <c r="D237" s="5" t="s">
        <v>19</v>
      </c>
      <c r="E237" s="6" t="s">
        <v>21</v>
      </c>
      <c r="F237" s="6" t="s">
        <v>2</v>
      </c>
      <c r="G237" s="6" t="s">
        <v>28</v>
      </c>
      <c r="H237" s="6">
        <v>2</v>
      </c>
      <c r="I237" s="33">
        <v>843.75</v>
      </c>
      <c r="J237" s="36">
        <v>1687.5</v>
      </c>
      <c r="M237" s="39"/>
      <c r="R237" s="38"/>
    </row>
    <row r="238" spans="1:18" x14ac:dyDescent="0.2">
      <c r="A238" s="12">
        <v>45894</v>
      </c>
      <c r="B238" s="4">
        <f t="shared" si="6"/>
        <v>2025</v>
      </c>
      <c r="C238" s="4">
        <f t="shared" si="7"/>
        <v>8</v>
      </c>
      <c r="D238" s="5" t="s">
        <v>0</v>
      </c>
      <c r="E238" s="6" t="s">
        <v>1</v>
      </c>
      <c r="F238" s="6" t="s">
        <v>38</v>
      </c>
      <c r="G238" s="6" t="s">
        <v>3</v>
      </c>
      <c r="H238" s="6">
        <v>2</v>
      </c>
      <c r="I238" s="33">
        <v>582.33000000000004</v>
      </c>
      <c r="J238" s="36">
        <v>1164.6600000000001</v>
      </c>
      <c r="M238" s="39"/>
      <c r="R238" s="38"/>
    </row>
    <row r="239" spans="1:18" x14ac:dyDescent="0.2">
      <c r="A239" s="12">
        <v>45895</v>
      </c>
      <c r="B239" s="4">
        <f t="shared" si="6"/>
        <v>2025</v>
      </c>
      <c r="C239" s="4">
        <f t="shared" si="7"/>
        <v>8</v>
      </c>
      <c r="D239" s="5" t="s">
        <v>11</v>
      </c>
      <c r="E239" s="6" t="s">
        <v>5</v>
      </c>
      <c r="F239" s="6" t="s">
        <v>6</v>
      </c>
      <c r="G239" s="6" t="s">
        <v>29</v>
      </c>
      <c r="H239" s="6">
        <v>10</v>
      </c>
      <c r="I239" s="33">
        <v>1086.06</v>
      </c>
      <c r="J239" s="36">
        <v>10860.6</v>
      </c>
      <c r="M239" s="39"/>
      <c r="R239" s="38"/>
    </row>
    <row r="240" spans="1:18" x14ac:dyDescent="0.2">
      <c r="A240" s="12">
        <v>45896</v>
      </c>
      <c r="B240" s="4">
        <f t="shared" si="6"/>
        <v>2025</v>
      </c>
      <c r="C240" s="4">
        <f t="shared" si="7"/>
        <v>8</v>
      </c>
      <c r="D240" s="5" t="s">
        <v>11</v>
      </c>
      <c r="E240" s="6" t="s">
        <v>5</v>
      </c>
      <c r="F240" s="6" t="s">
        <v>13</v>
      </c>
      <c r="G240" s="6" t="s">
        <v>7</v>
      </c>
      <c r="H240" s="6">
        <v>10</v>
      </c>
      <c r="I240" s="33">
        <v>314.52999999999997</v>
      </c>
      <c r="J240" s="36">
        <v>3145.3</v>
      </c>
      <c r="M240" s="39"/>
      <c r="R240" s="38"/>
    </row>
    <row r="241" spans="1:18" x14ac:dyDescent="0.2">
      <c r="A241" s="12">
        <v>45897</v>
      </c>
      <c r="B241" s="4">
        <f t="shared" si="6"/>
        <v>2025</v>
      </c>
      <c r="C241" s="4">
        <f t="shared" si="7"/>
        <v>8</v>
      </c>
      <c r="D241" s="5" t="s">
        <v>19</v>
      </c>
      <c r="E241" s="6" t="s">
        <v>12</v>
      </c>
      <c r="F241" s="6" t="s">
        <v>23</v>
      </c>
      <c r="G241" s="6" t="s">
        <v>31</v>
      </c>
      <c r="H241" s="6">
        <v>5</v>
      </c>
      <c r="I241" s="33">
        <v>211.01</v>
      </c>
      <c r="J241" s="36">
        <v>1055.05</v>
      </c>
      <c r="M241" s="39"/>
      <c r="R241" s="38"/>
    </row>
    <row r="242" spans="1:18" x14ac:dyDescent="0.2">
      <c r="A242" s="12">
        <v>45898</v>
      </c>
      <c r="B242" s="4">
        <f t="shared" si="6"/>
        <v>2025</v>
      </c>
      <c r="C242" s="4">
        <f t="shared" si="7"/>
        <v>8</v>
      </c>
      <c r="D242" s="5" t="s">
        <v>4</v>
      </c>
      <c r="E242" s="6" t="s">
        <v>21</v>
      </c>
      <c r="F242" s="6" t="s">
        <v>35</v>
      </c>
      <c r="G242" s="6" t="s">
        <v>22</v>
      </c>
      <c r="H242" s="6">
        <v>10</v>
      </c>
      <c r="I242" s="33">
        <v>812.79</v>
      </c>
      <c r="J242" s="36">
        <v>8127.9</v>
      </c>
      <c r="M242" s="39"/>
      <c r="R242" s="38"/>
    </row>
    <row r="243" spans="1:18" x14ac:dyDescent="0.2">
      <c r="A243" s="12">
        <v>45899</v>
      </c>
      <c r="B243" s="4">
        <f t="shared" si="6"/>
        <v>2025</v>
      </c>
      <c r="C243" s="4">
        <f t="shared" si="7"/>
        <v>8</v>
      </c>
      <c r="D243" s="5" t="s">
        <v>11</v>
      </c>
      <c r="E243" s="6" t="s">
        <v>5</v>
      </c>
      <c r="F243" s="6" t="s">
        <v>35</v>
      </c>
      <c r="G243" s="6" t="s">
        <v>15</v>
      </c>
      <c r="H243" s="6">
        <v>1</v>
      </c>
      <c r="I243" s="33">
        <v>908.59</v>
      </c>
      <c r="J243" s="36">
        <v>908.59</v>
      </c>
      <c r="M243" s="39"/>
      <c r="R243" s="38"/>
    </row>
    <row r="244" spans="1:18" x14ac:dyDescent="0.2">
      <c r="A244" s="12">
        <v>45900</v>
      </c>
      <c r="B244" s="4">
        <f t="shared" si="6"/>
        <v>2025</v>
      </c>
      <c r="C244" s="4">
        <f t="shared" si="7"/>
        <v>8</v>
      </c>
      <c r="D244" s="5" t="s">
        <v>11</v>
      </c>
      <c r="E244" s="6" t="s">
        <v>9</v>
      </c>
      <c r="F244" s="6" t="s">
        <v>6</v>
      </c>
      <c r="G244" s="6" t="s">
        <v>17</v>
      </c>
      <c r="H244" s="6">
        <v>6</v>
      </c>
      <c r="I244" s="33">
        <v>403.88</v>
      </c>
      <c r="J244" s="36">
        <v>2423.2800000000002</v>
      </c>
      <c r="M244" s="39"/>
      <c r="R244" s="38"/>
    </row>
    <row r="245" spans="1:18" x14ac:dyDescent="0.2">
      <c r="A245" s="12">
        <v>45901</v>
      </c>
      <c r="B245" s="4">
        <f t="shared" si="6"/>
        <v>2025</v>
      </c>
      <c r="C245" s="4">
        <f t="shared" si="7"/>
        <v>9</v>
      </c>
      <c r="D245" s="5" t="s">
        <v>4</v>
      </c>
      <c r="E245" s="6" t="s">
        <v>21</v>
      </c>
      <c r="F245" s="6" t="s">
        <v>16</v>
      </c>
      <c r="G245" s="6" t="s">
        <v>42</v>
      </c>
      <c r="H245" s="6">
        <v>9</v>
      </c>
      <c r="I245" s="33">
        <v>278.41000000000003</v>
      </c>
      <c r="J245" s="36">
        <v>2505.69</v>
      </c>
      <c r="M245" s="39"/>
      <c r="R245" s="38"/>
    </row>
    <row r="246" spans="1:18" x14ac:dyDescent="0.2">
      <c r="A246" s="12">
        <v>45902</v>
      </c>
      <c r="B246" s="4">
        <f t="shared" si="6"/>
        <v>2025</v>
      </c>
      <c r="C246" s="4">
        <f t="shared" si="7"/>
        <v>9</v>
      </c>
      <c r="D246" s="5" t="s">
        <v>0</v>
      </c>
      <c r="E246" s="6" t="s">
        <v>26</v>
      </c>
      <c r="F246" s="6" t="s">
        <v>38</v>
      </c>
      <c r="G246" s="6" t="s">
        <v>27</v>
      </c>
      <c r="H246" s="6">
        <v>1</v>
      </c>
      <c r="I246" s="33">
        <v>26.69</v>
      </c>
      <c r="J246" s="36">
        <v>26.69</v>
      </c>
      <c r="M246" s="39"/>
      <c r="R246" s="38"/>
    </row>
    <row r="247" spans="1:18" x14ac:dyDescent="0.2">
      <c r="A247" s="12">
        <v>45903</v>
      </c>
      <c r="B247" s="4">
        <f t="shared" si="6"/>
        <v>2025</v>
      </c>
      <c r="C247" s="4">
        <f t="shared" si="7"/>
        <v>9</v>
      </c>
      <c r="D247" s="5" t="s">
        <v>0</v>
      </c>
      <c r="E247" s="6" t="s">
        <v>9</v>
      </c>
      <c r="F247" s="6" t="s">
        <v>33</v>
      </c>
      <c r="G247" s="6" t="s">
        <v>10</v>
      </c>
      <c r="H247" s="6">
        <v>5</v>
      </c>
      <c r="I247" s="33">
        <v>459.1</v>
      </c>
      <c r="J247" s="36">
        <v>2295.5</v>
      </c>
      <c r="M247" s="39"/>
      <c r="R247" s="38"/>
    </row>
    <row r="248" spans="1:18" x14ac:dyDescent="0.2">
      <c r="A248" s="12">
        <v>45904</v>
      </c>
      <c r="B248" s="4">
        <f t="shared" si="6"/>
        <v>2025</v>
      </c>
      <c r="C248" s="4">
        <f t="shared" si="7"/>
        <v>9</v>
      </c>
      <c r="D248" s="5" t="s">
        <v>11</v>
      </c>
      <c r="E248" s="6" t="s">
        <v>21</v>
      </c>
      <c r="F248" s="6" t="s">
        <v>13</v>
      </c>
      <c r="G248" s="6" t="s">
        <v>42</v>
      </c>
      <c r="H248" s="6">
        <v>1</v>
      </c>
      <c r="I248" s="33">
        <v>953.89</v>
      </c>
      <c r="J248" s="36">
        <v>953.89</v>
      </c>
      <c r="M248" s="39"/>
      <c r="R248" s="38"/>
    </row>
    <row r="249" spans="1:18" x14ac:dyDescent="0.2">
      <c r="A249" s="12">
        <v>45905</v>
      </c>
      <c r="B249" s="4">
        <f t="shared" si="6"/>
        <v>2025</v>
      </c>
      <c r="C249" s="4">
        <f t="shared" si="7"/>
        <v>9</v>
      </c>
      <c r="D249" s="5" t="s">
        <v>11</v>
      </c>
      <c r="E249" s="6" t="s">
        <v>21</v>
      </c>
      <c r="F249" s="6" t="s">
        <v>23</v>
      </c>
      <c r="G249" s="6" t="s">
        <v>28</v>
      </c>
      <c r="H249" s="6">
        <v>10</v>
      </c>
      <c r="I249" s="33">
        <v>738.82</v>
      </c>
      <c r="J249" s="36">
        <v>7388.2</v>
      </c>
      <c r="M249" s="39"/>
      <c r="R249" s="38"/>
    </row>
    <row r="250" spans="1:18" x14ac:dyDescent="0.2">
      <c r="A250" s="12">
        <v>45906</v>
      </c>
      <c r="B250" s="4">
        <f t="shared" si="6"/>
        <v>2025</v>
      </c>
      <c r="C250" s="4">
        <f t="shared" si="7"/>
        <v>9</v>
      </c>
      <c r="D250" s="5" t="s">
        <v>0</v>
      </c>
      <c r="E250" s="6" t="s">
        <v>5</v>
      </c>
      <c r="F250" s="6" t="s">
        <v>16</v>
      </c>
      <c r="G250" s="6" t="s">
        <v>29</v>
      </c>
      <c r="H250" s="6">
        <v>10</v>
      </c>
      <c r="I250" s="33">
        <v>1494.63</v>
      </c>
      <c r="J250" s="36">
        <v>14946.3</v>
      </c>
      <c r="M250" s="39"/>
      <c r="R250" s="38"/>
    </row>
    <row r="251" spans="1:18" x14ac:dyDescent="0.2">
      <c r="A251" s="12">
        <v>45907</v>
      </c>
      <c r="B251" s="4">
        <f t="shared" si="6"/>
        <v>2025</v>
      </c>
      <c r="C251" s="4">
        <f t="shared" si="7"/>
        <v>9</v>
      </c>
      <c r="D251" s="5" t="s">
        <v>11</v>
      </c>
      <c r="E251" s="6" t="s">
        <v>26</v>
      </c>
      <c r="F251" s="6" t="s">
        <v>23</v>
      </c>
      <c r="G251" s="6" t="s">
        <v>47</v>
      </c>
      <c r="H251" s="6">
        <v>2</v>
      </c>
      <c r="I251" s="33">
        <v>820.7</v>
      </c>
      <c r="J251" s="36">
        <v>1641.4</v>
      </c>
      <c r="M251" s="39"/>
      <c r="R251" s="38"/>
    </row>
    <row r="252" spans="1:18" x14ac:dyDescent="0.2">
      <c r="A252" s="12">
        <v>45908</v>
      </c>
      <c r="B252" s="4">
        <f t="shared" si="6"/>
        <v>2025</v>
      </c>
      <c r="C252" s="4">
        <f t="shared" si="7"/>
        <v>9</v>
      </c>
      <c r="D252" s="5" t="s">
        <v>19</v>
      </c>
      <c r="E252" s="6" t="s">
        <v>9</v>
      </c>
      <c r="F252" s="6" t="s">
        <v>13</v>
      </c>
      <c r="G252" s="6" t="s">
        <v>18</v>
      </c>
      <c r="H252" s="6">
        <v>2</v>
      </c>
      <c r="I252" s="33">
        <v>116.7</v>
      </c>
      <c r="J252" s="36">
        <v>233.4</v>
      </c>
      <c r="M252" s="39"/>
      <c r="R252" s="38"/>
    </row>
    <row r="253" spans="1:18" x14ac:dyDescent="0.2">
      <c r="A253" s="12">
        <v>45909</v>
      </c>
      <c r="B253" s="4">
        <f t="shared" si="6"/>
        <v>2025</v>
      </c>
      <c r="C253" s="4">
        <f t="shared" si="7"/>
        <v>9</v>
      </c>
      <c r="D253" s="5" t="s">
        <v>0</v>
      </c>
      <c r="E253" s="6" t="s">
        <v>21</v>
      </c>
      <c r="F253" s="6" t="s">
        <v>33</v>
      </c>
      <c r="G253" s="6" t="s">
        <v>46</v>
      </c>
      <c r="H253" s="6">
        <v>2</v>
      </c>
      <c r="I253" s="33">
        <v>77.150000000000006</v>
      </c>
      <c r="J253" s="36">
        <v>154.30000000000001</v>
      </c>
      <c r="M253" s="39"/>
      <c r="R253" s="38"/>
    </row>
    <row r="254" spans="1:18" x14ac:dyDescent="0.2">
      <c r="A254" s="12">
        <v>45910</v>
      </c>
      <c r="B254" s="4">
        <f t="shared" si="6"/>
        <v>2025</v>
      </c>
      <c r="C254" s="4">
        <f t="shared" si="7"/>
        <v>9</v>
      </c>
      <c r="D254" s="5" t="s">
        <v>19</v>
      </c>
      <c r="E254" s="6" t="s">
        <v>21</v>
      </c>
      <c r="F254" s="6" t="s">
        <v>2</v>
      </c>
      <c r="G254" s="6" t="s">
        <v>28</v>
      </c>
      <c r="H254" s="6">
        <v>1</v>
      </c>
      <c r="I254" s="33">
        <v>1497.69</v>
      </c>
      <c r="J254" s="36">
        <v>1497.69</v>
      </c>
      <c r="M254" s="39"/>
      <c r="R254" s="38"/>
    </row>
    <row r="255" spans="1:18" x14ac:dyDescent="0.2">
      <c r="A255" s="12">
        <v>45911</v>
      </c>
      <c r="B255" s="4">
        <f t="shared" si="6"/>
        <v>2025</v>
      </c>
      <c r="C255" s="4">
        <f t="shared" si="7"/>
        <v>9</v>
      </c>
      <c r="D255" s="5" t="s">
        <v>8</v>
      </c>
      <c r="E255" s="6" t="s">
        <v>5</v>
      </c>
      <c r="F255" s="6" t="s">
        <v>16</v>
      </c>
      <c r="G255" s="6" t="s">
        <v>43</v>
      </c>
      <c r="H255" s="6">
        <v>6</v>
      </c>
      <c r="I255" s="33">
        <v>1130.27</v>
      </c>
      <c r="J255" s="36">
        <v>6781.62</v>
      </c>
      <c r="M255" s="39"/>
      <c r="R255" s="38"/>
    </row>
    <row r="256" spans="1:18" x14ac:dyDescent="0.2">
      <c r="A256" s="12">
        <v>45912</v>
      </c>
      <c r="B256" s="4">
        <f t="shared" si="6"/>
        <v>2025</v>
      </c>
      <c r="C256" s="4">
        <f t="shared" si="7"/>
        <v>9</v>
      </c>
      <c r="D256" s="5" t="s">
        <v>4</v>
      </c>
      <c r="E256" s="6" t="s">
        <v>26</v>
      </c>
      <c r="F256" s="6" t="s">
        <v>16</v>
      </c>
      <c r="G256" s="6" t="s">
        <v>27</v>
      </c>
      <c r="H256" s="6">
        <v>6</v>
      </c>
      <c r="I256" s="33">
        <v>1047.1099999999999</v>
      </c>
      <c r="J256" s="36">
        <v>6282.66</v>
      </c>
      <c r="M256" s="39"/>
      <c r="R256" s="38"/>
    </row>
    <row r="257" spans="1:18" x14ac:dyDescent="0.2">
      <c r="A257" s="12">
        <v>45913</v>
      </c>
      <c r="B257" s="4">
        <f t="shared" si="6"/>
        <v>2025</v>
      </c>
      <c r="C257" s="4">
        <f t="shared" si="7"/>
        <v>9</v>
      </c>
      <c r="D257" s="5" t="s">
        <v>19</v>
      </c>
      <c r="E257" s="6" t="s">
        <v>21</v>
      </c>
      <c r="F257" s="6" t="s">
        <v>16</v>
      </c>
      <c r="G257" s="6" t="s">
        <v>28</v>
      </c>
      <c r="H257" s="6">
        <v>10</v>
      </c>
      <c r="I257" s="33">
        <v>225.27</v>
      </c>
      <c r="J257" s="36">
        <v>2252.6999999999998</v>
      </c>
      <c r="M257" s="39"/>
      <c r="R257" s="38"/>
    </row>
    <row r="258" spans="1:18" x14ac:dyDescent="0.2">
      <c r="A258" s="12">
        <v>45914</v>
      </c>
      <c r="B258" s="4">
        <f t="shared" si="6"/>
        <v>2025</v>
      </c>
      <c r="C258" s="4">
        <f t="shared" si="7"/>
        <v>9</v>
      </c>
      <c r="D258" s="5" t="s">
        <v>19</v>
      </c>
      <c r="E258" s="6" t="s">
        <v>12</v>
      </c>
      <c r="F258" s="6" t="s">
        <v>38</v>
      </c>
      <c r="G258" s="6" t="s">
        <v>31</v>
      </c>
      <c r="H258" s="6">
        <v>1</v>
      </c>
      <c r="I258" s="33">
        <v>1162.48</v>
      </c>
      <c r="J258" s="36">
        <v>1162.48</v>
      </c>
      <c r="M258" s="39"/>
      <c r="R258" s="38"/>
    </row>
    <row r="259" spans="1:18" x14ac:dyDescent="0.2">
      <c r="A259" s="12">
        <v>45915</v>
      </c>
      <c r="B259" s="4">
        <f t="shared" ref="B259:B322" si="8">YEAR(A259)</f>
        <v>2025</v>
      </c>
      <c r="C259" s="4">
        <f t="shared" ref="C259:C322" si="9">MONTH(A259)</f>
        <v>9</v>
      </c>
      <c r="D259" s="5" t="s">
        <v>19</v>
      </c>
      <c r="E259" s="6" t="s">
        <v>12</v>
      </c>
      <c r="F259" s="6" t="s">
        <v>16</v>
      </c>
      <c r="G259" s="6" t="s">
        <v>14</v>
      </c>
      <c r="H259" s="6">
        <v>3</v>
      </c>
      <c r="I259" s="33">
        <v>753.7</v>
      </c>
      <c r="J259" s="36">
        <v>2261.1</v>
      </c>
      <c r="M259" s="39"/>
      <c r="R259" s="38"/>
    </row>
    <row r="260" spans="1:18" x14ac:dyDescent="0.2">
      <c r="A260" s="12">
        <v>45916</v>
      </c>
      <c r="B260" s="4">
        <f t="shared" si="8"/>
        <v>2025</v>
      </c>
      <c r="C260" s="4">
        <f t="shared" si="9"/>
        <v>9</v>
      </c>
      <c r="D260" s="5" t="s">
        <v>8</v>
      </c>
      <c r="E260" s="6" t="s">
        <v>9</v>
      </c>
      <c r="F260" s="6" t="s">
        <v>13</v>
      </c>
      <c r="G260" s="6" t="s">
        <v>18</v>
      </c>
      <c r="H260" s="6">
        <v>5</v>
      </c>
      <c r="I260" s="33">
        <v>1422.27</v>
      </c>
      <c r="J260" s="36">
        <v>7111.35</v>
      </c>
      <c r="M260" s="39"/>
      <c r="R260" s="38"/>
    </row>
    <row r="261" spans="1:18" x14ac:dyDescent="0.2">
      <c r="A261" s="12">
        <v>45917</v>
      </c>
      <c r="B261" s="4">
        <f t="shared" si="8"/>
        <v>2025</v>
      </c>
      <c r="C261" s="4">
        <f t="shared" si="9"/>
        <v>9</v>
      </c>
      <c r="D261" s="5" t="s">
        <v>0</v>
      </c>
      <c r="E261" s="6" t="s">
        <v>9</v>
      </c>
      <c r="F261" s="6" t="s">
        <v>35</v>
      </c>
      <c r="G261" s="6" t="s">
        <v>41</v>
      </c>
      <c r="H261" s="6">
        <v>4</v>
      </c>
      <c r="I261" s="33">
        <v>872.42</v>
      </c>
      <c r="J261" s="36">
        <v>3489.68</v>
      </c>
      <c r="M261" s="39"/>
      <c r="R261" s="38"/>
    </row>
    <row r="262" spans="1:18" x14ac:dyDescent="0.2">
      <c r="A262" s="12">
        <v>45918</v>
      </c>
      <c r="B262" s="4">
        <f t="shared" si="8"/>
        <v>2025</v>
      </c>
      <c r="C262" s="4">
        <f t="shared" si="9"/>
        <v>9</v>
      </c>
      <c r="D262" s="5" t="s">
        <v>4</v>
      </c>
      <c r="E262" s="6" t="s">
        <v>5</v>
      </c>
      <c r="F262" s="6" t="s">
        <v>23</v>
      </c>
      <c r="G262" s="6" t="s">
        <v>32</v>
      </c>
      <c r="H262" s="6">
        <v>1</v>
      </c>
      <c r="I262" s="33">
        <v>118.62</v>
      </c>
      <c r="J262" s="36">
        <v>118.62</v>
      </c>
      <c r="M262" s="39"/>
      <c r="R262" s="38"/>
    </row>
    <row r="263" spans="1:18" x14ac:dyDescent="0.2">
      <c r="A263" s="12">
        <v>45919</v>
      </c>
      <c r="B263" s="4">
        <f t="shared" si="8"/>
        <v>2025</v>
      </c>
      <c r="C263" s="4">
        <f t="shared" si="9"/>
        <v>9</v>
      </c>
      <c r="D263" s="5" t="s">
        <v>4</v>
      </c>
      <c r="E263" s="6" t="s">
        <v>12</v>
      </c>
      <c r="F263" s="6" t="s">
        <v>13</v>
      </c>
      <c r="G263" s="6" t="s">
        <v>45</v>
      </c>
      <c r="H263" s="6">
        <v>1</v>
      </c>
      <c r="I263" s="33">
        <v>1457.78</v>
      </c>
      <c r="J263" s="36">
        <v>1457.78</v>
      </c>
      <c r="M263" s="39"/>
      <c r="R263" s="38"/>
    </row>
    <row r="264" spans="1:18" x14ac:dyDescent="0.2">
      <c r="A264" s="12">
        <v>45920</v>
      </c>
      <c r="B264" s="4">
        <f t="shared" si="8"/>
        <v>2025</v>
      </c>
      <c r="C264" s="4">
        <f t="shared" si="9"/>
        <v>9</v>
      </c>
      <c r="D264" s="5" t="s">
        <v>0</v>
      </c>
      <c r="E264" s="6" t="s">
        <v>1</v>
      </c>
      <c r="F264" s="6" t="s">
        <v>35</v>
      </c>
      <c r="G264" s="6" t="s">
        <v>3</v>
      </c>
      <c r="H264" s="6">
        <v>9</v>
      </c>
      <c r="I264" s="33">
        <v>139.05000000000001</v>
      </c>
      <c r="J264" s="36">
        <v>1251.45</v>
      </c>
      <c r="M264" s="39"/>
      <c r="R264" s="38"/>
    </row>
    <row r="265" spans="1:18" x14ac:dyDescent="0.2">
      <c r="A265" s="12">
        <v>45921</v>
      </c>
      <c r="B265" s="4">
        <f t="shared" si="8"/>
        <v>2025</v>
      </c>
      <c r="C265" s="4">
        <f t="shared" si="9"/>
        <v>9</v>
      </c>
      <c r="D265" s="5" t="s">
        <v>4</v>
      </c>
      <c r="E265" s="6" t="s">
        <v>21</v>
      </c>
      <c r="F265" s="6" t="s">
        <v>38</v>
      </c>
      <c r="G265" s="6" t="s">
        <v>22</v>
      </c>
      <c r="H265" s="6">
        <v>4</v>
      </c>
      <c r="I265" s="33">
        <v>1459.93</v>
      </c>
      <c r="J265" s="36">
        <v>5839.72</v>
      </c>
      <c r="M265" s="39"/>
      <c r="R265" s="38"/>
    </row>
    <row r="266" spans="1:18" x14ac:dyDescent="0.2">
      <c r="A266" s="12">
        <v>45922</v>
      </c>
      <c r="B266" s="4">
        <f t="shared" si="8"/>
        <v>2025</v>
      </c>
      <c r="C266" s="4">
        <f t="shared" si="9"/>
        <v>9</v>
      </c>
      <c r="D266" s="5" t="s">
        <v>0</v>
      </c>
      <c r="E266" s="6" t="s">
        <v>1</v>
      </c>
      <c r="F266" s="6" t="s">
        <v>16</v>
      </c>
      <c r="G266" s="6" t="s">
        <v>48</v>
      </c>
      <c r="H266" s="6">
        <v>7</v>
      </c>
      <c r="I266" s="33">
        <v>403.42</v>
      </c>
      <c r="J266" s="36">
        <v>2823.94</v>
      </c>
      <c r="M266" s="39"/>
      <c r="R266" s="38"/>
    </row>
    <row r="267" spans="1:18" x14ac:dyDescent="0.2">
      <c r="A267" s="12">
        <v>45923</v>
      </c>
      <c r="B267" s="4">
        <f t="shared" si="8"/>
        <v>2025</v>
      </c>
      <c r="C267" s="4">
        <f t="shared" si="9"/>
        <v>9</v>
      </c>
      <c r="D267" s="5" t="s">
        <v>4</v>
      </c>
      <c r="E267" s="6" t="s">
        <v>5</v>
      </c>
      <c r="F267" s="6" t="s">
        <v>35</v>
      </c>
      <c r="G267" s="6" t="s">
        <v>29</v>
      </c>
      <c r="H267" s="6">
        <v>6</v>
      </c>
      <c r="I267" s="33">
        <v>744.9</v>
      </c>
      <c r="J267" s="36">
        <v>4469.3999999999996</v>
      </c>
      <c r="M267" s="39"/>
      <c r="R267" s="38"/>
    </row>
    <row r="268" spans="1:18" x14ac:dyDescent="0.2">
      <c r="A268" s="12">
        <v>45924</v>
      </c>
      <c r="B268" s="4">
        <f t="shared" si="8"/>
        <v>2025</v>
      </c>
      <c r="C268" s="4">
        <f t="shared" si="9"/>
        <v>9</v>
      </c>
      <c r="D268" s="5" t="s">
        <v>0</v>
      </c>
      <c r="E268" s="6" t="s">
        <v>1</v>
      </c>
      <c r="F268" s="6" t="s">
        <v>16</v>
      </c>
      <c r="G268" s="6" t="s">
        <v>34</v>
      </c>
      <c r="H268" s="6">
        <v>5</v>
      </c>
      <c r="I268" s="33">
        <v>1019.6</v>
      </c>
      <c r="J268" s="36">
        <v>5098</v>
      </c>
      <c r="M268" s="39"/>
      <c r="R268" s="38"/>
    </row>
    <row r="269" spans="1:18" x14ac:dyDescent="0.2">
      <c r="A269" s="12">
        <v>45925</v>
      </c>
      <c r="B269" s="4">
        <f t="shared" si="8"/>
        <v>2025</v>
      </c>
      <c r="C269" s="4">
        <f t="shared" si="9"/>
        <v>9</v>
      </c>
      <c r="D269" s="5" t="s">
        <v>19</v>
      </c>
      <c r="E269" s="6" t="s">
        <v>26</v>
      </c>
      <c r="F269" s="6" t="s">
        <v>35</v>
      </c>
      <c r="G269" s="6" t="s">
        <v>30</v>
      </c>
      <c r="H269" s="6">
        <v>9</v>
      </c>
      <c r="I269" s="33">
        <v>560.57000000000005</v>
      </c>
      <c r="J269" s="36">
        <v>5045.13</v>
      </c>
      <c r="M269" s="39"/>
      <c r="R269" s="38"/>
    </row>
    <row r="270" spans="1:18" x14ac:dyDescent="0.2">
      <c r="A270" s="12">
        <v>45926</v>
      </c>
      <c r="B270" s="4">
        <f t="shared" si="8"/>
        <v>2025</v>
      </c>
      <c r="C270" s="4">
        <f t="shared" si="9"/>
        <v>9</v>
      </c>
      <c r="D270" s="5" t="s">
        <v>19</v>
      </c>
      <c r="E270" s="6" t="s">
        <v>1</v>
      </c>
      <c r="F270" s="6" t="s">
        <v>6</v>
      </c>
      <c r="G270" s="6" t="s">
        <v>24</v>
      </c>
      <c r="H270" s="6">
        <v>4</v>
      </c>
      <c r="I270" s="33">
        <v>292.58999999999997</v>
      </c>
      <c r="J270" s="36">
        <v>1170.3599999999999</v>
      </c>
      <c r="M270" s="39"/>
      <c r="R270" s="38"/>
    </row>
    <row r="271" spans="1:18" x14ac:dyDescent="0.2">
      <c r="A271" s="12">
        <v>45927</v>
      </c>
      <c r="B271" s="4">
        <f t="shared" si="8"/>
        <v>2025</v>
      </c>
      <c r="C271" s="4">
        <f t="shared" si="9"/>
        <v>9</v>
      </c>
      <c r="D271" s="5" t="s">
        <v>0</v>
      </c>
      <c r="E271" s="6" t="s">
        <v>9</v>
      </c>
      <c r="F271" s="6" t="s">
        <v>2</v>
      </c>
      <c r="G271" s="6" t="s">
        <v>41</v>
      </c>
      <c r="H271" s="6">
        <v>1</v>
      </c>
      <c r="I271" s="33">
        <v>1378.39</v>
      </c>
      <c r="J271" s="36">
        <v>1378.39</v>
      </c>
      <c r="M271" s="39"/>
      <c r="R271" s="38"/>
    </row>
    <row r="272" spans="1:18" x14ac:dyDescent="0.2">
      <c r="A272" s="12">
        <v>45928</v>
      </c>
      <c r="B272" s="4">
        <f t="shared" si="8"/>
        <v>2025</v>
      </c>
      <c r="C272" s="4">
        <f t="shared" si="9"/>
        <v>9</v>
      </c>
      <c r="D272" s="5" t="s">
        <v>0</v>
      </c>
      <c r="E272" s="6" t="s">
        <v>12</v>
      </c>
      <c r="F272" s="6" t="s">
        <v>13</v>
      </c>
      <c r="G272" s="6" t="s">
        <v>20</v>
      </c>
      <c r="H272" s="6">
        <v>5</v>
      </c>
      <c r="I272" s="33">
        <v>777.25</v>
      </c>
      <c r="J272" s="36">
        <v>3886.25</v>
      </c>
      <c r="M272" s="39"/>
      <c r="R272" s="38"/>
    </row>
    <row r="273" spans="1:18" x14ac:dyDescent="0.2">
      <c r="A273" s="12">
        <v>45929</v>
      </c>
      <c r="B273" s="4">
        <f t="shared" si="8"/>
        <v>2025</v>
      </c>
      <c r="C273" s="4">
        <f t="shared" si="9"/>
        <v>9</v>
      </c>
      <c r="D273" s="5" t="s">
        <v>0</v>
      </c>
      <c r="E273" s="6" t="s">
        <v>9</v>
      </c>
      <c r="F273" s="6" t="s">
        <v>38</v>
      </c>
      <c r="G273" s="6" t="s">
        <v>40</v>
      </c>
      <c r="H273" s="6">
        <v>5</v>
      </c>
      <c r="I273" s="33">
        <v>301.14</v>
      </c>
      <c r="J273" s="36">
        <v>1505.7</v>
      </c>
      <c r="M273" s="39"/>
      <c r="R273" s="38"/>
    </row>
    <row r="274" spans="1:18" x14ac:dyDescent="0.2">
      <c r="A274" s="12">
        <v>45930</v>
      </c>
      <c r="B274" s="4">
        <f t="shared" si="8"/>
        <v>2025</v>
      </c>
      <c r="C274" s="4">
        <f t="shared" si="9"/>
        <v>9</v>
      </c>
      <c r="D274" s="5" t="s">
        <v>19</v>
      </c>
      <c r="E274" s="6" t="s">
        <v>26</v>
      </c>
      <c r="F274" s="6" t="s">
        <v>2</v>
      </c>
      <c r="G274" s="6" t="s">
        <v>30</v>
      </c>
      <c r="H274" s="6">
        <v>4</v>
      </c>
      <c r="I274" s="33">
        <v>481.84</v>
      </c>
      <c r="J274" s="36">
        <v>1927.36</v>
      </c>
      <c r="M274" s="39"/>
      <c r="R274" s="38"/>
    </row>
    <row r="275" spans="1:18" x14ac:dyDescent="0.2">
      <c r="A275" s="12">
        <v>45931</v>
      </c>
      <c r="B275" s="4">
        <f t="shared" si="8"/>
        <v>2025</v>
      </c>
      <c r="C275" s="4">
        <f t="shared" si="9"/>
        <v>10</v>
      </c>
      <c r="D275" s="5" t="s">
        <v>11</v>
      </c>
      <c r="E275" s="6" t="s">
        <v>26</v>
      </c>
      <c r="F275" s="6" t="s">
        <v>35</v>
      </c>
      <c r="G275" s="6" t="s">
        <v>39</v>
      </c>
      <c r="H275" s="6">
        <v>6</v>
      </c>
      <c r="I275" s="33">
        <v>1156.1199999999999</v>
      </c>
      <c r="J275" s="36">
        <v>6936.72</v>
      </c>
      <c r="M275" s="39"/>
      <c r="R275" s="38"/>
    </row>
    <row r="276" spans="1:18" x14ac:dyDescent="0.2">
      <c r="A276" s="12">
        <v>45932</v>
      </c>
      <c r="B276" s="4">
        <f t="shared" si="8"/>
        <v>2025</v>
      </c>
      <c r="C276" s="4">
        <f t="shared" si="9"/>
        <v>10</v>
      </c>
      <c r="D276" s="5" t="s">
        <v>4</v>
      </c>
      <c r="E276" s="6" t="s">
        <v>26</v>
      </c>
      <c r="F276" s="6" t="s">
        <v>16</v>
      </c>
      <c r="G276" s="6" t="s">
        <v>30</v>
      </c>
      <c r="H276" s="6">
        <v>1</v>
      </c>
      <c r="I276" s="33">
        <v>1304.03</v>
      </c>
      <c r="J276" s="36">
        <v>1304.03</v>
      </c>
      <c r="M276" s="39"/>
      <c r="R276" s="38"/>
    </row>
    <row r="277" spans="1:18" x14ac:dyDescent="0.2">
      <c r="A277" s="12">
        <v>45933</v>
      </c>
      <c r="B277" s="4">
        <f t="shared" si="8"/>
        <v>2025</v>
      </c>
      <c r="C277" s="4">
        <f t="shared" si="9"/>
        <v>10</v>
      </c>
      <c r="D277" s="5" t="s">
        <v>0</v>
      </c>
      <c r="E277" s="6" t="s">
        <v>5</v>
      </c>
      <c r="F277" s="6" t="s">
        <v>23</v>
      </c>
      <c r="G277" s="6" t="s">
        <v>7</v>
      </c>
      <c r="H277" s="6">
        <v>8</v>
      </c>
      <c r="I277" s="33">
        <v>148.93</v>
      </c>
      <c r="J277" s="36">
        <v>1191.44</v>
      </c>
      <c r="M277" s="39"/>
      <c r="R277" s="38"/>
    </row>
    <row r="278" spans="1:18" x14ac:dyDescent="0.2">
      <c r="A278" s="12">
        <v>45934</v>
      </c>
      <c r="B278" s="4">
        <f t="shared" si="8"/>
        <v>2025</v>
      </c>
      <c r="C278" s="4">
        <f t="shared" si="9"/>
        <v>10</v>
      </c>
      <c r="D278" s="5" t="s">
        <v>4</v>
      </c>
      <c r="E278" s="6" t="s">
        <v>5</v>
      </c>
      <c r="F278" s="6" t="s">
        <v>16</v>
      </c>
      <c r="G278" s="6" t="s">
        <v>15</v>
      </c>
      <c r="H278" s="6">
        <v>2</v>
      </c>
      <c r="I278" s="33">
        <v>1263</v>
      </c>
      <c r="J278" s="36">
        <v>2526</v>
      </c>
      <c r="M278" s="39"/>
      <c r="R278" s="38"/>
    </row>
    <row r="279" spans="1:18" x14ac:dyDescent="0.2">
      <c r="A279" s="12">
        <v>45935</v>
      </c>
      <c r="B279" s="4">
        <f t="shared" si="8"/>
        <v>2025</v>
      </c>
      <c r="C279" s="4">
        <f t="shared" si="9"/>
        <v>10</v>
      </c>
      <c r="D279" s="5" t="s">
        <v>0</v>
      </c>
      <c r="E279" s="6" t="s">
        <v>21</v>
      </c>
      <c r="F279" s="6" t="s">
        <v>38</v>
      </c>
      <c r="G279" s="6" t="s">
        <v>28</v>
      </c>
      <c r="H279" s="6">
        <v>8</v>
      </c>
      <c r="I279" s="33">
        <v>369.92</v>
      </c>
      <c r="J279" s="36">
        <v>2959.36</v>
      </c>
      <c r="M279" s="39"/>
      <c r="R279" s="38"/>
    </row>
    <row r="280" spans="1:18" x14ac:dyDescent="0.2">
      <c r="A280" s="12">
        <v>45936</v>
      </c>
      <c r="B280" s="4">
        <f t="shared" si="8"/>
        <v>2025</v>
      </c>
      <c r="C280" s="4">
        <f t="shared" si="9"/>
        <v>10</v>
      </c>
      <c r="D280" s="5" t="s">
        <v>11</v>
      </c>
      <c r="E280" s="6" t="s">
        <v>9</v>
      </c>
      <c r="F280" s="6" t="s">
        <v>23</v>
      </c>
      <c r="G280" s="6" t="s">
        <v>17</v>
      </c>
      <c r="H280" s="6">
        <v>1</v>
      </c>
      <c r="I280" s="33">
        <v>936.18</v>
      </c>
      <c r="J280" s="36">
        <v>936.18</v>
      </c>
      <c r="M280" s="39"/>
      <c r="R280" s="38"/>
    </row>
    <row r="281" spans="1:18" x14ac:dyDescent="0.2">
      <c r="A281" s="12">
        <v>45937</v>
      </c>
      <c r="B281" s="4">
        <f t="shared" si="8"/>
        <v>2025</v>
      </c>
      <c r="C281" s="4">
        <f t="shared" si="9"/>
        <v>10</v>
      </c>
      <c r="D281" s="5" t="s">
        <v>11</v>
      </c>
      <c r="E281" s="6" t="s">
        <v>12</v>
      </c>
      <c r="F281" s="6" t="s">
        <v>38</v>
      </c>
      <c r="G281" s="6" t="s">
        <v>45</v>
      </c>
      <c r="H281" s="6">
        <v>4</v>
      </c>
      <c r="I281" s="33">
        <v>1462.34</v>
      </c>
      <c r="J281" s="36">
        <v>5849.36</v>
      </c>
      <c r="M281" s="39"/>
      <c r="R281" s="38"/>
    </row>
    <row r="282" spans="1:18" x14ac:dyDescent="0.2">
      <c r="A282" s="12">
        <v>45938</v>
      </c>
      <c r="B282" s="4">
        <f t="shared" si="8"/>
        <v>2025</v>
      </c>
      <c r="C282" s="4">
        <f t="shared" si="9"/>
        <v>10</v>
      </c>
      <c r="D282" s="5" t="s">
        <v>8</v>
      </c>
      <c r="E282" s="6" t="s">
        <v>5</v>
      </c>
      <c r="F282" s="6" t="s">
        <v>16</v>
      </c>
      <c r="G282" s="6" t="s">
        <v>29</v>
      </c>
      <c r="H282" s="6">
        <v>8</v>
      </c>
      <c r="I282" s="33">
        <v>1428.76</v>
      </c>
      <c r="J282" s="36">
        <v>11430.08</v>
      </c>
      <c r="M282" s="39"/>
      <c r="R282" s="38"/>
    </row>
    <row r="283" spans="1:18" x14ac:dyDescent="0.2">
      <c r="A283" s="12">
        <v>45939</v>
      </c>
      <c r="B283" s="4">
        <f t="shared" si="8"/>
        <v>2025</v>
      </c>
      <c r="C283" s="4">
        <f t="shared" si="9"/>
        <v>10</v>
      </c>
      <c r="D283" s="5" t="s">
        <v>19</v>
      </c>
      <c r="E283" s="6" t="s">
        <v>9</v>
      </c>
      <c r="F283" s="6" t="s">
        <v>23</v>
      </c>
      <c r="G283" s="6" t="s">
        <v>41</v>
      </c>
      <c r="H283" s="6">
        <v>7</v>
      </c>
      <c r="I283" s="33">
        <v>26.81</v>
      </c>
      <c r="J283" s="36">
        <v>187.67</v>
      </c>
      <c r="M283" s="39"/>
      <c r="R283" s="38"/>
    </row>
    <row r="284" spans="1:18" x14ac:dyDescent="0.2">
      <c r="A284" s="12">
        <v>45940</v>
      </c>
      <c r="B284" s="4">
        <f t="shared" si="8"/>
        <v>2025</v>
      </c>
      <c r="C284" s="4">
        <f t="shared" si="9"/>
        <v>10</v>
      </c>
      <c r="D284" s="5" t="s">
        <v>19</v>
      </c>
      <c r="E284" s="6" t="s">
        <v>5</v>
      </c>
      <c r="F284" s="6" t="s">
        <v>2</v>
      </c>
      <c r="G284" s="6" t="s">
        <v>15</v>
      </c>
      <c r="H284" s="6">
        <v>6</v>
      </c>
      <c r="I284" s="33">
        <v>135.47</v>
      </c>
      <c r="J284" s="36">
        <v>812.82</v>
      </c>
      <c r="M284" s="39"/>
      <c r="R284" s="38"/>
    </row>
    <row r="285" spans="1:18" x14ac:dyDescent="0.2">
      <c r="A285" s="12">
        <v>45941</v>
      </c>
      <c r="B285" s="4">
        <f t="shared" si="8"/>
        <v>2025</v>
      </c>
      <c r="C285" s="4">
        <f t="shared" si="9"/>
        <v>10</v>
      </c>
      <c r="D285" s="5" t="s">
        <v>19</v>
      </c>
      <c r="E285" s="6" t="s">
        <v>1</v>
      </c>
      <c r="F285" s="6" t="s">
        <v>2</v>
      </c>
      <c r="G285" s="6" t="s">
        <v>34</v>
      </c>
      <c r="H285" s="6">
        <v>2</v>
      </c>
      <c r="I285" s="33">
        <v>35.22</v>
      </c>
      <c r="J285" s="36">
        <v>70.44</v>
      </c>
      <c r="M285" s="39"/>
      <c r="R285" s="38"/>
    </row>
    <row r="286" spans="1:18" x14ac:dyDescent="0.2">
      <c r="A286" s="12">
        <v>45942</v>
      </c>
      <c r="B286" s="4">
        <f t="shared" si="8"/>
        <v>2025</v>
      </c>
      <c r="C286" s="4">
        <f t="shared" si="9"/>
        <v>10</v>
      </c>
      <c r="D286" s="5" t="s">
        <v>8</v>
      </c>
      <c r="E286" s="6" t="s">
        <v>1</v>
      </c>
      <c r="F286" s="6" t="s">
        <v>16</v>
      </c>
      <c r="G286" s="6" t="s">
        <v>3</v>
      </c>
      <c r="H286" s="6">
        <v>5</v>
      </c>
      <c r="I286" s="33">
        <v>1340.6</v>
      </c>
      <c r="J286" s="36">
        <v>6703</v>
      </c>
      <c r="M286" s="39"/>
      <c r="R286" s="38"/>
    </row>
    <row r="287" spans="1:18" x14ac:dyDescent="0.2">
      <c r="A287" s="12">
        <v>45943</v>
      </c>
      <c r="B287" s="4">
        <f t="shared" si="8"/>
        <v>2025</v>
      </c>
      <c r="C287" s="4">
        <f t="shared" si="9"/>
        <v>10</v>
      </c>
      <c r="D287" s="5" t="s">
        <v>11</v>
      </c>
      <c r="E287" s="6" t="s">
        <v>21</v>
      </c>
      <c r="F287" s="6" t="s">
        <v>16</v>
      </c>
      <c r="G287" s="6" t="s">
        <v>37</v>
      </c>
      <c r="H287" s="6">
        <v>4</v>
      </c>
      <c r="I287" s="33">
        <v>1134.7</v>
      </c>
      <c r="J287" s="36">
        <v>4538.8</v>
      </c>
      <c r="M287" s="39"/>
      <c r="R287" s="38"/>
    </row>
    <row r="288" spans="1:18" x14ac:dyDescent="0.2">
      <c r="A288" s="12">
        <v>45944</v>
      </c>
      <c r="B288" s="4">
        <f t="shared" si="8"/>
        <v>2025</v>
      </c>
      <c r="C288" s="4">
        <f t="shared" si="9"/>
        <v>10</v>
      </c>
      <c r="D288" s="5" t="s">
        <v>8</v>
      </c>
      <c r="E288" s="6" t="s">
        <v>12</v>
      </c>
      <c r="F288" s="6" t="s">
        <v>23</v>
      </c>
      <c r="G288" s="6" t="s">
        <v>44</v>
      </c>
      <c r="H288" s="6">
        <v>3</v>
      </c>
      <c r="I288" s="33">
        <v>197.93</v>
      </c>
      <c r="J288" s="36">
        <v>593.79</v>
      </c>
      <c r="M288" s="39"/>
      <c r="R288" s="38"/>
    </row>
    <row r="289" spans="1:18" x14ac:dyDescent="0.2">
      <c r="A289" s="12">
        <v>45945</v>
      </c>
      <c r="B289" s="4">
        <f t="shared" si="8"/>
        <v>2025</v>
      </c>
      <c r="C289" s="4">
        <f t="shared" si="9"/>
        <v>10</v>
      </c>
      <c r="D289" s="5" t="s">
        <v>4</v>
      </c>
      <c r="E289" s="6" t="s">
        <v>21</v>
      </c>
      <c r="F289" s="6" t="s">
        <v>38</v>
      </c>
      <c r="G289" s="6" t="s">
        <v>22</v>
      </c>
      <c r="H289" s="6">
        <v>1</v>
      </c>
      <c r="I289" s="33">
        <v>985.28</v>
      </c>
      <c r="J289" s="36">
        <v>985.28</v>
      </c>
      <c r="M289" s="39"/>
      <c r="R289" s="38"/>
    </row>
    <row r="290" spans="1:18" x14ac:dyDescent="0.2">
      <c r="A290" s="12">
        <v>45946</v>
      </c>
      <c r="B290" s="4">
        <f t="shared" si="8"/>
        <v>2025</v>
      </c>
      <c r="C290" s="4">
        <f t="shared" si="9"/>
        <v>10</v>
      </c>
      <c r="D290" s="5" t="s">
        <v>19</v>
      </c>
      <c r="E290" s="6" t="s">
        <v>12</v>
      </c>
      <c r="F290" s="6" t="s">
        <v>6</v>
      </c>
      <c r="G290" s="6" t="s">
        <v>44</v>
      </c>
      <c r="H290" s="6">
        <v>10</v>
      </c>
      <c r="I290" s="33">
        <v>184.06</v>
      </c>
      <c r="J290" s="36">
        <v>1840.6</v>
      </c>
      <c r="M290" s="39"/>
      <c r="R290" s="38"/>
    </row>
    <row r="291" spans="1:18" x14ac:dyDescent="0.2">
      <c r="A291" s="12">
        <v>45947</v>
      </c>
      <c r="B291" s="4">
        <f t="shared" si="8"/>
        <v>2025</v>
      </c>
      <c r="C291" s="4">
        <f t="shared" si="9"/>
        <v>10</v>
      </c>
      <c r="D291" s="5" t="s">
        <v>8</v>
      </c>
      <c r="E291" s="6" t="s">
        <v>9</v>
      </c>
      <c r="F291" s="6" t="s">
        <v>16</v>
      </c>
      <c r="G291" s="6" t="s">
        <v>40</v>
      </c>
      <c r="H291" s="6">
        <v>4</v>
      </c>
      <c r="I291" s="33">
        <v>376.53</v>
      </c>
      <c r="J291" s="36">
        <v>1506.12</v>
      </c>
      <c r="M291" s="39"/>
      <c r="R291" s="38"/>
    </row>
    <row r="292" spans="1:18" x14ac:dyDescent="0.2">
      <c r="A292" s="12">
        <v>45948</v>
      </c>
      <c r="B292" s="4">
        <f t="shared" si="8"/>
        <v>2025</v>
      </c>
      <c r="C292" s="4">
        <f t="shared" si="9"/>
        <v>10</v>
      </c>
      <c r="D292" s="5" t="s">
        <v>8</v>
      </c>
      <c r="E292" s="6" t="s">
        <v>21</v>
      </c>
      <c r="F292" s="6" t="s">
        <v>2</v>
      </c>
      <c r="G292" s="6" t="s">
        <v>42</v>
      </c>
      <c r="H292" s="6">
        <v>5</v>
      </c>
      <c r="I292" s="33">
        <v>965.35</v>
      </c>
      <c r="J292" s="36">
        <v>4826.75</v>
      </c>
      <c r="M292" s="39"/>
      <c r="R292" s="38"/>
    </row>
    <row r="293" spans="1:18" x14ac:dyDescent="0.2">
      <c r="A293" s="12">
        <v>45949</v>
      </c>
      <c r="B293" s="4">
        <f t="shared" si="8"/>
        <v>2025</v>
      </c>
      <c r="C293" s="4">
        <f t="shared" si="9"/>
        <v>10</v>
      </c>
      <c r="D293" s="5" t="s">
        <v>4</v>
      </c>
      <c r="E293" s="6" t="s">
        <v>1</v>
      </c>
      <c r="F293" s="6" t="s">
        <v>6</v>
      </c>
      <c r="G293" s="6" t="s">
        <v>3</v>
      </c>
      <c r="H293" s="6">
        <v>3</v>
      </c>
      <c r="I293" s="33">
        <v>953.35</v>
      </c>
      <c r="J293" s="36">
        <v>2860.05</v>
      </c>
      <c r="M293" s="39"/>
      <c r="R293" s="38"/>
    </row>
    <row r="294" spans="1:18" x14ac:dyDescent="0.2">
      <c r="A294" s="12">
        <v>45950</v>
      </c>
      <c r="B294" s="4">
        <f t="shared" si="8"/>
        <v>2025</v>
      </c>
      <c r="C294" s="4">
        <f t="shared" si="9"/>
        <v>10</v>
      </c>
      <c r="D294" s="5" t="s">
        <v>19</v>
      </c>
      <c r="E294" s="6" t="s">
        <v>12</v>
      </c>
      <c r="F294" s="6" t="s">
        <v>16</v>
      </c>
      <c r="G294" s="6" t="s">
        <v>45</v>
      </c>
      <c r="H294" s="6">
        <v>10</v>
      </c>
      <c r="I294" s="33">
        <v>946.62</v>
      </c>
      <c r="J294" s="36">
        <v>9466.2000000000007</v>
      </c>
      <c r="M294" s="39"/>
      <c r="R294" s="38"/>
    </row>
    <row r="295" spans="1:18" x14ac:dyDescent="0.2">
      <c r="A295" s="12">
        <v>45951</v>
      </c>
      <c r="B295" s="4">
        <f t="shared" si="8"/>
        <v>2025</v>
      </c>
      <c r="C295" s="4">
        <f t="shared" si="9"/>
        <v>10</v>
      </c>
      <c r="D295" s="5" t="s">
        <v>0</v>
      </c>
      <c r="E295" s="6" t="s">
        <v>1</v>
      </c>
      <c r="F295" s="6" t="s">
        <v>38</v>
      </c>
      <c r="G295" s="6" t="s">
        <v>3</v>
      </c>
      <c r="H295" s="6">
        <v>8</v>
      </c>
      <c r="I295" s="33">
        <v>1498.02</v>
      </c>
      <c r="J295" s="36">
        <v>11984.16</v>
      </c>
      <c r="M295" s="39"/>
      <c r="R295" s="38"/>
    </row>
    <row r="296" spans="1:18" x14ac:dyDescent="0.2">
      <c r="A296" s="12">
        <v>45952</v>
      </c>
      <c r="B296" s="4">
        <f t="shared" si="8"/>
        <v>2025</v>
      </c>
      <c r="C296" s="4">
        <f t="shared" si="9"/>
        <v>10</v>
      </c>
      <c r="D296" s="5" t="s">
        <v>8</v>
      </c>
      <c r="E296" s="6" t="s">
        <v>1</v>
      </c>
      <c r="F296" s="6" t="s">
        <v>13</v>
      </c>
      <c r="G296" s="6" t="s">
        <v>25</v>
      </c>
      <c r="H296" s="6">
        <v>9</v>
      </c>
      <c r="I296" s="33">
        <v>884.23</v>
      </c>
      <c r="J296" s="36">
        <v>7958.07</v>
      </c>
      <c r="M296" s="39"/>
      <c r="R296" s="38"/>
    </row>
    <row r="297" spans="1:18" x14ac:dyDescent="0.2">
      <c r="A297" s="12">
        <v>45953</v>
      </c>
      <c r="B297" s="4">
        <f t="shared" si="8"/>
        <v>2025</v>
      </c>
      <c r="C297" s="4">
        <f t="shared" si="9"/>
        <v>10</v>
      </c>
      <c r="D297" s="5" t="s">
        <v>19</v>
      </c>
      <c r="E297" s="6" t="s">
        <v>1</v>
      </c>
      <c r="F297" s="6" t="s">
        <v>2</v>
      </c>
      <c r="G297" s="6" t="s">
        <v>25</v>
      </c>
      <c r="H297" s="6">
        <v>3</v>
      </c>
      <c r="I297" s="33">
        <v>681.19</v>
      </c>
      <c r="J297" s="36">
        <v>2043.57</v>
      </c>
      <c r="M297" s="39"/>
      <c r="R297" s="38"/>
    </row>
    <row r="298" spans="1:18" x14ac:dyDescent="0.2">
      <c r="A298" s="12">
        <v>45954</v>
      </c>
      <c r="B298" s="4">
        <f t="shared" si="8"/>
        <v>2025</v>
      </c>
      <c r="C298" s="4">
        <f t="shared" si="9"/>
        <v>10</v>
      </c>
      <c r="D298" s="5" t="s">
        <v>11</v>
      </c>
      <c r="E298" s="6" t="s">
        <v>1</v>
      </c>
      <c r="F298" s="6" t="s">
        <v>6</v>
      </c>
      <c r="G298" s="6" t="s">
        <v>24</v>
      </c>
      <c r="H298" s="6">
        <v>2</v>
      </c>
      <c r="I298" s="33">
        <v>865.68</v>
      </c>
      <c r="J298" s="36">
        <v>1731.36</v>
      </c>
      <c r="M298" s="39"/>
      <c r="R298" s="38"/>
    </row>
    <row r="299" spans="1:18" x14ac:dyDescent="0.2">
      <c r="A299" s="12">
        <v>45955</v>
      </c>
      <c r="B299" s="4">
        <f t="shared" si="8"/>
        <v>2025</v>
      </c>
      <c r="C299" s="4">
        <f t="shared" si="9"/>
        <v>10</v>
      </c>
      <c r="D299" s="5" t="s">
        <v>11</v>
      </c>
      <c r="E299" s="6" t="s">
        <v>5</v>
      </c>
      <c r="F299" s="6" t="s">
        <v>35</v>
      </c>
      <c r="G299" s="6" t="s">
        <v>32</v>
      </c>
      <c r="H299" s="6">
        <v>5</v>
      </c>
      <c r="I299" s="33">
        <v>855.02</v>
      </c>
      <c r="J299" s="36">
        <v>4275.1000000000004</v>
      </c>
      <c r="M299" s="39"/>
      <c r="R299" s="38"/>
    </row>
    <row r="300" spans="1:18" x14ac:dyDescent="0.2">
      <c r="A300" s="12">
        <v>45956</v>
      </c>
      <c r="B300" s="4">
        <f t="shared" si="8"/>
        <v>2025</v>
      </c>
      <c r="C300" s="4">
        <f t="shared" si="9"/>
        <v>10</v>
      </c>
      <c r="D300" s="5" t="s">
        <v>8</v>
      </c>
      <c r="E300" s="6" t="s">
        <v>9</v>
      </c>
      <c r="F300" s="6" t="s">
        <v>16</v>
      </c>
      <c r="G300" s="6" t="s">
        <v>18</v>
      </c>
      <c r="H300" s="6">
        <v>9</v>
      </c>
      <c r="I300" s="33">
        <v>1466.86</v>
      </c>
      <c r="J300" s="36">
        <v>13201.74</v>
      </c>
      <c r="M300" s="39"/>
      <c r="R300" s="38"/>
    </row>
    <row r="301" spans="1:18" x14ac:dyDescent="0.2">
      <c r="A301" s="12">
        <v>45957</v>
      </c>
      <c r="B301" s="4">
        <f t="shared" si="8"/>
        <v>2025</v>
      </c>
      <c r="C301" s="4">
        <f t="shared" si="9"/>
        <v>10</v>
      </c>
      <c r="D301" s="5" t="s">
        <v>11</v>
      </c>
      <c r="E301" s="6" t="s">
        <v>5</v>
      </c>
      <c r="F301" s="6" t="s">
        <v>2</v>
      </c>
      <c r="G301" s="6" t="s">
        <v>15</v>
      </c>
      <c r="H301" s="6">
        <v>4</v>
      </c>
      <c r="I301" s="33">
        <v>331.14</v>
      </c>
      <c r="J301" s="36">
        <v>1324.56</v>
      </c>
      <c r="M301" s="39"/>
      <c r="R301" s="38"/>
    </row>
    <row r="302" spans="1:18" x14ac:dyDescent="0.2">
      <c r="A302" s="12">
        <v>45958</v>
      </c>
      <c r="B302" s="4">
        <f t="shared" si="8"/>
        <v>2025</v>
      </c>
      <c r="C302" s="4">
        <f t="shared" si="9"/>
        <v>10</v>
      </c>
      <c r="D302" s="5" t="s">
        <v>11</v>
      </c>
      <c r="E302" s="6" t="s">
        <v>1</v>
      </c>
      <c r="F302" s="6" t="s">
        <v>33</v>
      </c>
      <c r="G302" s="6" t="s">
        <v>48</v>
      </c>
      <c r="H302" s="6">
        <v>10</v>
      </c>
      <c r="I302" s="33">
        <v>1463.98</v>
      </c>
      <c r="J302" s="36">
        <v>14639.8</v>
      </c>
      <c r="M302" s="39"/>
      <c r="R302" s="38"/>
    </row>
    <row r="303" spans="1:18" x14ac:dyDescent="0.2">
      <c r="A303" s="12">
        <v>45959</v>
      </c>
      <c r="B303" s="4">
        <f t="shared" si="8"/>
        <v>2025</v>
      </c>
      <c r="C303" s="4">
        <f t="shared" si="9"/>
        <v>10</v>
      </c>
      <c r="D303" s="5" t="s">
        <v>11</v>
      </c>
      <c r="E303" s="6" t="s">
        <v>12</v>
      </c>
      <c r="F303" s="6" t="s">
        <v>33</v>
      </c>
      <c r="G303" s="6" t="s">
        <v>45</v>
      </c>
      <c r="H303" s="6">
        <v>3</v>
      </c>
      <c r="I303" s="33">
        <v>60.32</v>
      </c>
      <c r="J303" s="36">
        <v>180.96</v>
      </c>
      <c r="M303" s="39"/>
      <c r="R303" s="38"/>
    </row>
    <row r="304" spans="1:18" x14ac:dyDescent="0.2">
      <c r="A304" s="12">
        <v>45960</v>
      </c>
      <c r="B304" s="4">
        <f t="shared" si="8"/>
        <v>2025</v>
      </c>
      <c r="C304" s="4">
        <f t="shared" si="9"/>
        <v>10</v>
      </c>
      <c r="D304" s="5" t="s">
        <v>0</v>
      </c>
      <c r="E304" s="6" t="s">
        <v>12</v>
      </c>
      <c r="F304" s="6" t="s">
        <v>38</v>
      </c>
      <c r="G304" s="6" t="s">
        <v>14</v>
      </c>
      <c r="H304" s="6">
        <v>2</v>
      </c>
      <c r="I304" s="33">
        <v>929.4</v>
      </c>
      <c r="J304" s="36">
        <v>1858.8</v>
      </c>
      <c r="M304" s="39"/>
      <c r="R304" s="38"/>
    </row>
    <row r="305" spans="1:18" x14ac:dyDescent="0.2">
      <c r="A305" s="12">
        <v>45961</v>
      </c>
      <c r="B305" s="4">
        <f t="shared" si="8"/>
        <v>2025</v>
      </c>
      <c r="C305" s="4">
        <f t="shared" si="9"/>
        <v>10</v>
      </c>
      <c r="D305" s="5" t="s">
        <v>0</v>
      </c>
      <c r="E305" s="6" t="s">
        <v>21</v>
      </c>
      <c r="F305" s="6" t="s">
        <v>2</v>
      </c>
      <c r="G305" s="6" t="s">
        <v>37</v>
      </c>
      <c r="H305" s="6">
        <v>6</v>
      </c>
      <c r="I305" s="33">
        <v>165.13</v>
      </c>
      <c r="J305" s="36">
        <v>990.78</v>
      </c>
      <c r="M305" s="39"/>
      <c r="R305" s="38"/>
    </row>
    <row r="306" spans="1:18" x14ac:dyDescent="0.2">
      <c r="A306" s="12">
        <v>45962</v>
      </c>
      <c r="B306" s="4">
        <f t="shared" si="8"/>
        <v>2025</v>
      </c>
      <c r="C306" s="4">
        <f t="shared" si="9"/>
        <v>11</v>
      </c>
      <c r="D306" s="5" t="s">
        <v>11</v>
      </c>
      <c r="E306" s="6" t="s">
        <v>5</v>
      </c>
      <c r="F306" s="6" t="s">
        <v>2</v>
      </c>
      <c r="G306" s="6" t="s">
        <v>7</v>
      </c>
      <c r="H306" s="6">
        <v>8</v>
      </c>
      <c r="I306" s="33">
        <v>508.6</v>
      </c>
      <c r="J306" s="36">
        <v>4068.8</v>
      </c>
      <c r="M306" s="39"/>
      <c r="R306" s="38"/>
    </row>
    <row r="307" spans="1:18" x14ac:dyDescent="0.2">
      <c r="A307" s="12">
        <v>45963</v>
      </c>
      <c r="B307" s="4">
        <f t="shared" si="8"/>
        <v>2025</v>
      </c>
      <c r="C307" s="4">
        <f t="shared" si="9"/>
        <v>11</v>
      </c>
      <c r="D307" s="5" t="s">
        <v>8</v>
      </c>
      <c r="E307" s="6" t="s">
        <v>26</v>
      </c>
      <c r="F307" s="6" t="s">
        <v>16</v>
      </c>
      <c r="G307" s="6" t="s">
        <v>39</v>
      </c>
      <c r="H307" s="6">
        <v>3</v>
      </c>
      <c r="I307" s="33">
        <v>387.97</v>
      </c>
      <c r="J307" s="36">
        <v>1163.9100000000001</v>
      </c>
      <c r="M307" s="39"/>
      <c r="R307" s="38"/>
    </row>
    <row r="308" spans="1:18" x14ac:dyDescent="0.2">
      <c r="A308" s="12">
        <v>45964</v>
      </c>
      <c r="B308" s="4">
        <f t="shared" si="8"/>
        <v>2025</v>
      </c>
      <c r="C308" s="4">
        <f t="shared" si="9"/>
        <v>11</v>
      </c>
      <c r="D308" s="5" t="s">
        <v>0</v>
      </c>
      <c r="E308" s="6" t="s">
        <v>26</v>
      </c>
      <c r="F308" s="6" t="s">
        <v>13</v>
      </c>
      <c r="G308" s="6" t="s">
        <v>27</v>
      </c>
      <c r="H308" s="6">
        <v>2</v>
      </c>
      <c r="I308" s="33">
        <v>630.07000000000005</v>
      </c>
      <c r="J308" s="36">
        <v>1260.1400000000001</v>
      </c>
      <c r="M308" s="39"/>
      <c r="R308" s="38"/>
    </row>
    <row r="309" spans="1:18" x14ac:dyDescent="0.2">
      <c r="A309" s="12">
        <v>45965</v>
      </c>
      <c r="B309" s="4">
        <f t="shared" si="8"/>
        <v>2025</v>
      </c>
      <c r="C309" s="4">
        <f t="shared" si="9"/>
        <v>11</v>
      </c>
      <c r="D309" s="5" t="s">
        <v>0</v>
      </c>
      <c r="E309" s="6" t="s">
        <v>5</v>
      </c>
      <c r="F309" s="6" t="s">
        <v>38</v>
      </c>
      <c r="G309" s="6" t="s">
        <v>43</v>
      </c>
      <c r="H309" s="6">
        <v>2</v>
      </c>
      <c r="I309" s="33">
        <v>1022.56</v>
      </c>
      <c r="J309" s="36">
        <v>2045.12</v>
      </c>
      <c r="M309" s="39"/>
      <c r="R309" s="38"/>
    </row>
    <row r="310" spans="1:18" x14ac:dyDescent="0.2">
      <c r="A310" s="12">
        <v>45966</v>
      </c>
      <c r="B310" s="4">
        <f t="shared" si="8"/>
        <v>2025</v>
      </c>
      <c r="C310" s="4">
        <f t="shared" si="9"/>
        <v>11</v>
      </c>
      <c r="D310" s="5" t="s">
        <v>0</v>
      </c>
      <c r="E310" s="6" t="s">
        <v>1</v>
      </c>
      <c r="F310" s="6" t="s">
        <v>38</v>
      </c>
      <c r="G310" s="6" t="s">
        <v>3</v>
      </c>
      <c r="H310" s="6">
        <v>10</v>
      </c>
      <c r="I310" s="33">
        <v>1250.3399999999999</v>
      </c>
      <c r="J310" s="36">
        <v>12503.4</v>
      </c>
      <c r="M310" s="39"/>
      <c r="R310" s="38"/>
    </row>
    <row r="311" spans="1:18" x14ac:dyDescent="0.2">
      <c r="A311" s="12">
        <v>45967</v>
      </c>
      <c r="B311" s="4">
        <f t="shared" si="8"/>
        <v>2025</v>
      </c>
      <c r="C311" s="4">
        <f t="shared" si="9"/>
        <v>11</v>
      </c>
      <c r="D311" s="5" t="s">
        <v>4</v>
      </c>
      <c r="E311" s="6" t="s">
        <v>5</v>
      </c>
      <c r="F311" s="6" t="s">
        <v>23</v>
      </c>
      <c r="G311" s="6" t="s">
        <v>7</v>
      </c>
      <c r="H311" s="6">
        <v>1</v>
      </c>
      <c r="I311" s="33">
        <v>478.67</v>
      </c>
      <c r="J311" s="36">
        <v>478.67</v>
      </c>
      <c r="M311" s="39"/>
      <c r="R311" s="38"/>
    </row>
    <row r="312" spans="1:18" x14ac:dyDescent="0.2">
      <c r="A312" s="12">
        <v>45968</v>
      </c>
      <c r="B312" s="4">
        <f t="shared" si="8"/>
        <v>2025</v>
      </c>
      <c r="C312" s="4">
        <f t="shared" si="9"/>
        <v>11</v>
      </c>
      <c r="D312" s="5" t="s">
        <v>19</v>
      </c>
      <c r="E312" s="6" t="s">
        <v>5</v>
      </c>
      <c r="F312" s="6" t="s">
        <v>6</v>
      </c>
      <c r="G312" s="6" t="s">
        <v>43</v>
      </c>
      <c r="H312" s="6">
        <v>10</v>
      </c>
      <c r="I312" s="33">
        <v>827.61</v>
      </c>
      <c r="J312" s="36">
        <v>8276.1</v>
      </c>
      <c r="M312" s="39"/>
      <c r="R312" s="38"/>
    </row>
    <row r="313" spans="1:18" x14ac:dyDescent="0.2">
      <c r="A313" s="12">
        <v>45969</v>
      </c>
      <c r="B313" s="4">
        <f t="shared" si="8"/>
        <v>2025</v>
      </c>
      <c r="C313" s="4">
        <f t="shared" si="9"/>
        <v>11</v>
      </c>
      <c r="D313" s="5" t="s">
        <v>4</v>
      </c>
      <c r="E313" s="6" t="s">
        <v>21</v>
      </c>
      <c r="F313" s="6" t="s">
        <v>16</v>
      </c>
      <c r="G313" s="6" t="s">
        <v>28</v>
      </c>
      <c r="H313" s="6">
        <v>8</v>
      </c>
      <c r="I313" s="33">
        <v>879.9</v>
      </c>
      <c r="J313" s="36">
        <v>7039.2</v>
      </c>
      <c r="M313" s="39"/>
      <c r="R313" s="38"/>
    </row>
    <row r="314" spans="1:18" x14ac:dyDescent="0.2">
      <c r="A314" s="12">
        <v>45970</v>
      </c>
      <c r="B314" s="4">
        <f t="shared" si="8"/>
        <v>2025</v>
      </c>
      <c r="C314" s="4">
        <f t="shared" si="9"/>
        <v>11</v>
      </c>
      <c r="D314" s="5" t="s">
        <v>4</v>
      </c>
      <c r="E314" s="6" t="s">
        <v>26</v>
      </c>
      <c r="F314" s="6" t="s">
        <v>2</v>
      </c>
      <c r="G314" s="6" t="s">
        <v>30</v>
      </c>
      <c r="H314" s="6">
        <v>3</v>
      </c>
      <c r="I314" s="33">
        <v>1145.06</v>
      </c>
      <c r="J314" s="36">
        <v>3435.18</v>
      </c>
      <c r="M314" s="39"/>
      <c r="R314" s="38"/>
    </row>
    <row r="315" spans="1:18" x14ac:dyDescent="0.2">
      <c r="A315" s="12">
        <v>45971</v>
      </c>
      <c r="B315" s="4">
        <f t="shared" si="8"/>
        <v>2025</v>
      </c>
      <c r="C315" s="4">
        <f t="shared" si="9"/>
        <v>11</v>
      </c>
      <c r="D315" s="5" t="s">
        <v>11</v>
      </c>
      <c r="E315" s="6" t="s">
        <v>5</v>
      </c>
      <c r="F315" s="6" t="s">
        <v>16</v>
      </c>
      <c r="G315" s="6" t="s">
        <v>7</v>
      </c>
      <c r="H315" s="6">
        <v>5</v>
      </c>
      <c r="I315" s="33">
        <v>1231.25</v>
      </c>
      <c r="J315" s="36">
        <v>6156.25</v>
      </c>
      <c r="M315" s="39"/>
      <c r="R315" s="38"/>
    </row>
    <row r="316" spans="1:18" x14ac:dyDescent="0.2">
      <c r="A316" s="12">
        <v>45972</v>
      </c>
      <c r="B316" s="4">
        <f t="shared" si="8"/>
        <v>2025</v>
      </c>
      <c r="C316" s="4">
        <f t="shared" si="9"/>
        <v>11</v>
      </c>
      <c r="D316" s="5" t="s">
        <v>8</v>
      </c>
      <c r="E316" s="6" t="s">
        <v>12</v>
      </c>
      <c r="F316" s="6" t="s">
        <v>23</v>
      </c>
      <c r="G316" s="6" t="s">
        <v>14</v>
      </c>
      <c r="H316" s="6">
        <v>6</v>
      </c>
      <c r="I316" s="33">
        <v>1214.6099999999999</v>
      </c>
      <c r="J316" s="36">
        <v>7287.66</v>
      </c>
      <c r="M316" s="39"/>
      <c r="R316" s="38"/>
    </row>
    <row r="317" spans="1:18" x14ac:dyDescent="0.2">
      <c r="A317" s="12">
        <v>45973</v>
      </c>
      <c r="B317" s="4">
        <f t="shared" si="8"/>
        <v>2025</v>
      </c>
      <c r="C317" s="4">
        <f t="shared" si="9"/>
        <v>11</v>
      </c>
      <c r="D317" s="5" t="s">
        <v>19</v>
      </c>
      <c r="E317" s="6" t="s">
        <v>1</v>
      </c>
      <c r="F317" s="6" t="s">
        <v>35</v>
      </c>
      <c r="G317" s="6" t="s">
        <v>48</v>
      </c>
      <c r="H317" s="6">
        <v>1</v>
      </c>
      <c r="I317" s="33">
        <v>1285.77</v>
      </c>
      <c r="J317" s="36">
        <v>1285.77</v>
      </c>
      <c r="M317" s="39"/>
      <c r="R317" s="38"/>
    </row>
    <row r="318" spans="1:18" x14ac:dyDescent="0.2">
      <c r="A318" s="12">
        <v>45974</v>
      </c>
      <c r="B318" s="4">
        <f t="shared" si="8"/>
        <v>2025</v>
      </c>
      <c r="C318" s="4">
        <f t="shared" si="9"/>
        <v>11</v>
      </c>
      <c r="D318" s="5" t="s">
        <v>8</v>
      </c>
      <c r="E318" s="6" t="s">
        <v>9</v>
      </c>
      <c r="F318" s="6" t="s">
        <v>6</v>
      </c>
      <c r="G318" s="6" t="s">
        <v>17</v>
      </c>
      <c r="H318" s="6">
        <v>1</v>
      </c>
      <c r="I318" s="33">
        <v>1104.24</v>
      </c>
      <c r="J318" s="36">
        <v>1104.24</v>
      </c>
      <c r="M318" s="39"/>
      <c r="R318" s="38"/>
    </row>
    <row r="319" spans="1:18" x14ac:dyDescent="0.2">
      <c r="A319" s="12">
        <v>45975</v>
      </c>
      <c r="B319" s="4">
        <f t="shared" si="8"/>
        <v>2025</v>
      </c>
      <c r="C319" s="4">
        <f t="shared" si="9"/>
        <v>11</v>
      </c>
      <c r="D319" s="5" t="s">
        <v>8</v>
      </c>
      <c r="E319" s="6" t="s">
        <v>5</v>
      </c>
      <c r="F319" s="6" t="s">
        <v>13</v>
      </c>
      <c r="G319" s="6" t="s">
        <v>7</v>
      </c>
      <c r="H319" s="6">
        <v>9</v>
      </c>
      <c r="I319" s="33">
        <v>1205.3599999999999</v>
      </c>
      <c r="J319" s="36">
        <v>10848.24</v>
      </c>
      <c r="M319" s="39"/>
      <c r="R319" s="38"/>
    </row>
    <row r="320" spans="1:18" x14ac:dyDescent="0.2">
      <c r="A320" s="12">
        <v>45976</v>
      </c>
      <c r="B320" s="4">
        <f t="shared" si="8"/>
        <v>2025</v>
      </c>
      <c r="C320" s="4">
        <f t="shared" si="9"/>
        <v>11</v>
      </c>
      <c r="D320" s="5" t="s">
        <v>8</v>
      </c>
      <c r="E320" s="6" t="s">
        <v>26</v>
      </c>
      <c r="F320" s="6" t="s">
        <v>23</v>
      </c>
      <c r="G320" s="6" t="s">
        <v>36</v>
      </c>
      <c r="H320" s="6">
        <v>7</v>
      </c>
      <c r="I320" s="33">
        <v>1191.9100000000001</v>
      </c>
      <c r="J320" s="36">
        <v>8343.3700000000008</v>
      </c>
      <c r="M320" s="39"/>
      <c r="R320" s="38"/>
    </row>
    <row r="321" spans="1:18" x14ac:dyDescent="0.2">
      <c r="A321" s="12">
        <v>45977</v>
      </c>
      <c r="B321" s="4">
        <f t="shared" si="8"/>
        <v>2025</v>
      </c>
      <c r="C321" s="4">
        <f t="shared" si="9"/>
        <v>11</v>
      </c>
      <c r="D321" s="5" t="s">
        <v>19</v>
      </c>
      <c r="E321" s="6" t="s">
        <v>5</v>
      </c>
      <c r="F321" s="6" t="s">
        <v>33</v>
      </c>
      <c r="G321" s="6" t="s">
        <v>32</v>
      </c>
      <c r="H321" s="6">
        <v>2</v>
      </c>
      <c r="I321" s="33">
        <v>123.42</v>
      </c>
      <c r="J321" s="36">
        <v>246.84</v>
      </c>
      <c r="M321" s="39"/>
      <c r="R321" s="38"/>
    </row>
    <row r="322" spans="1:18" x14ac:dyDescent="0.2">
      <c r="A322" s="12">
        <v>45978</v>
      </c>
      <c r="B322" s="4">
        <f t="shared" si="8"/>
        <v>2025</v>
      </c>
      <c r="C322" s="4">
        <f t="shared" si="9"/>
        <v>11</v>
      </c>
      <c r="D322" s="5" t="s">
        <v>4</v>
      </c>
      <c r="E322" s="6" t="s">
        <v>12</v>
      </c>
      <c r="F322" s="6" t="s">
        <v>23</v>
      </c>
      <c r="G322" s="6" t="s">
        <v>45</v>
      </c>
      <c r="H322" s="6">
        <v>1</v>
      </c>
      <c r="I322" s="33">
        <v>545.12</v>
      </c>
      <c r="J322" s="36">
        <v>545.12</v>
      </c>
      <c r="M322" s="39"/>
      <c r="R322" s="38"/>
    </row>
    <row r="323" spans="1:18" x14ac:dyDescent="0.2">
      <c r="A323" s="12">
        <v>45979</v>
      </c>
      <c r="B323" s="4">
        <f t="shared" ref="B323:B386" si="10">YEAR(A323)</f>
        <v>2025</v>
      </c>
      <c r="C323" s="4">
        <f t="shared" ref="C323:C386" si="11">MONTH(A323)</f>
        <v>11</v>
      </c>
      <c r="D323" s="5" t="s">
        <v>0</v>
      </c>
      <c r="E323" s="6" t="s">
        <v>9</v>
      </c>
      <c r="F323" s="6" t="s">
        <v>16</v>
      </c>
      <c r="G323" s="6" t="s">
        <v>41</v>
      </c>
      <c r="H323" s="6">
        <v>2</v>
      </c>
      <c r="I323" s="33">
        <v>864.25</v>
      </c>
      <c r="J323" s="36">
        <v>1728.5</v>
      </c>
      <c r="M323" s="39"/>
      <c r="R323" s="38"/>
    </row>
    <row r="324" spans="1:18" x14ac:dyDescent="0.2">
      <c r="A324" s="12">
        <v>45980</v>
      </c>
      <c r="B324" s="4">
        <f t="shared" si="10"/>
        <v>2025</v>
      </c>
      <c r="C324" s="4">
        <f t="shared" si="11"/>
        <v>11</v>
      </c>
      <c r="D324" s="5" t="s">
        <v>19</v>
      </c>
      <c r="E324" s="6" t="s">
        <v>5</v>
      </c>
      <c r="F324" s="6" t="s">
        <v>33</v>
      </c>
      <c r="G324" s="6" t="s">
        <v>43</v>
      </c>
      <c r="H324" s="6">
        <v>5</v>
      </c>
      <c r="I324" s="33">
        <v>976.56</v>
      </c>
      <c r="J324" s="36">
        <v>4882.8</v>
      </c>
      <c r="M324" s="39"/>
      <c r="R324" s="38"/>
    </row>
    <row r="325" spans="1:18" x14ac:dyDescent="0.2">
      <c r="A325" s="12">
        <v>45981</v>
      </c>
      <c r="B325" s="4">
        <f t="shared" si="10"/>
        <v>2025</v>
      </c>
      <c r="C325" s="4">
        <f t="shared" si="11"/>
        <v>11</v>
      </c>
      <c r="D325" s="5" t="s">
        <v>0</v>
      </c>
      <c r="E325" s="6" t="s">
        <v>5</v>
      </c>
      <c r="F325" s="6" t="s">
        <v>16</v>
      </c>
      <c r="G325" s="6" t="s">
        <v>43</v>
      </c>
      <c r="H325" s="6">
        <v>5</v>
      </c>
      <c r="I325" s="33">
        <v>247.42</v>
      </c>
      <c r="J325" s="36">
        <v>1237.0999999999999</v>
      </c>
      <c r="M325" s="39"/>
      <c r="R325" s="38"/>
    </row>
    <row r="326" spans="1:18" x14ac:dyDescent="0.2">
      <c r="A326" s="12">
        <v>45982</v>
      </c>
      <c r="B326" s="4">
        <f t="shared" si="10"/>
        <v>2025</v>
      </c>
      <c r="C326" s="4">
        <f t="shared" si="11"/>
        <v>11</v>
      </c>
      <c r="D326" s="5" t="s">
        <v>4</v>
      </c>
      <c r="E326" s="6" t="s">
        <v>21</v>
      </c>
      <c r="F326" s="6" t="s">
        <v>38</v>
      </c>
      <c r="G326" s="6" t="s">
        <v>42</v>
      </c>
      <c r="H326" s="6">
        <v>5</v>
      </c>
      <c r="I326" s="33">
        <v>545.58000000000004</v>
      </c>
      <c r="J326" s="36">
        <v>2727.9</v>
      </c>
      <c r="M326" s="39"/>
      <c r="R326" s="38"/>
    </row>
    <row r="327" spans="1:18" x14ac:dyDescent="0.2">
      <c r="A327" s="12">
        <v>45983</v>
      </c>
      <c r="B327" s="4">
        <f t="shared" si="10"/>
        <v>2025</v>
      </c>
      <c r="C327" s="4">
        <f t="shared" si="11"/>
        <v>11</v>
      </c>
      <c r="D327" s="5" t="s">
        <v>8</v>
      </c>
      <c r="E327" s="6" t="s">
        <v>1</v>
      </c>
      <c r="F327" s="6" t="s">
        <v>2</v>
      </c>
      <c r="G327" s="6" t="s">
        <v>3</v>
      </c>
      <c r="H327" s="6">
        <v>2</v>
      </c>
      <c r="I327" s="33">
        <v>1179.52</v>
      </c>
      <c r="J327" s="36">
        <v>2359.04</v>
      </c>
      <c r="M327" s="39"/>
      <c r="R327" s="38"/>
    </row>
    <row r="328" spans="1:18" x14ac:dyDescent="0.2">
      <c r="A328" s="12">
        <v>45984</v>
      </c>
      <c r="B328" s="4">
        <f t="shared" si="10"/>
        <v>2025</v>
      </c>
      <c r="C328" s="4">
        <f t="shared" si="11"/>
        <v>11</v>
      </c>
      <c r="D328" s="5" t="s">
        <v>0</v>
      </c>
      <c r="E328" s="6" t="s">
        <v>26</v>
      </c>
      <c r="F328" s="6" t="s">
        <v>38</v>
      </c>
      <c r="G328" s="6" t="s">
        <v>36</v>
      </c>
      <c r="H328" s="6">
        <v>4</v>
      </c>
      <c r="I328" s="33">
        <v>548.73</v>
      </c>
      <c r="J328" s="36">
        <v>2194.92</v>
      </c>
      <c r="M328" s="39"/>
      <c r="R328" s="38"/>
    </row>
    <row r="329" spans="1:18" x14ac:dyDescent="0.2">
      <c r="A329" s="12">
        <v>45985</v>
      </c>
      <c r="B329" s="4">
        <f t="shared" si="10"/>
        <v>2025</v>
      </c>
      <c r="C329" s="4">
        <f t="shared" si="11"/>
        <v>11</v>
      </c>
      <c r="D329" s="5" t="s">
        <v>0</v>
      </c>
      <c r="E329" s="6" t="s">
        <v>26</v>
      </c>
      <c r="F329" s="6" t="s">
        <v>13</v>
      </c>
      <c r="G329" s="6" t="s">
        <v>36</v>
      </c>
      <c r="H329" s="6">
        <v>4</v>
      </c>
      <c r="I329" s="33">
        <v>233.36</v>
      </c>
      <c r="J329" s="36">
        <v>933.44</v>
      </c>
      <c r="M329" s="39"/>
      <c r="R329" s="38"/>
    </row>
    <row r="330" spans="1:18" x14ac:dyDescent="0.2">
      <c r="A330" s="12">
        <v>45986</v>
      </c>
      <c r="B330" s="4">
        <f t="shared" si="10"/>
        <v>2025</v>
      </c>
      <c r="C330" s="4">
        <f t="shared" si="11"/>
        <v>11</v>
      </c>
      <c r="D330" s="5" t="s">
        <v>11</v>
      </c>
      <c r="E330" s="6" t="s">
        <v>1</v>
      </c>
      <c r="F330" s="6" t="s">
        <v>2</v>
      </c>
      <c r="G330" s="6" t="s">
        <v>24</v>
      </c>
      <c r="H330" s="6">
        <v>4</v>
      </c>
      <c r="I330" s="33">
        <v>270.75</v>
      </c>
      <c r="J330" s="36">
        <v>1083</v>
      </c>
      <c r="M330" s="39"/>
      <c r="R330" s="38"/>
    </row>
    <row r="331" spans="1:18" x14ac:dyDescent="0.2">
      <c r="A331" s="12">
        <v>45987</v>
      </c>
      <c r="B331" s="4">
        <f t="shared" si="10"/>
        <v>2025</v>
      </c>
      <c r="C331" s="4">
        <f t="shared" si="11"/>
        <v>11</v>
      </c>
      <c r="D331" s="5" t="s">
        <v>19</v>
      </c>
      <c r="E331" s="6" t="s">
        <v>5</v>
      </c>
      <c r="F331" s="6" t="s">
        <v>2</v>
      </c>
      <c r="G331" s="6" t="s">
        <v>29</v>
      </c>
      <c r="H331" s="6">
        <v>2</v>
      </c>
      <c r="I331" s="33">
        <v>1177.72</v>
      </c>
      <c r="J331" s="36">
        <v>2355.44</v>
      </c>
      <c r="M331" s="39"/>
      <c r="R331" s="38"/>
    </row>
    <row r="332" spans="1:18" x14ac:dyDescent="0.2">
      <c r="A332" s="12">
        <v>45988</v>
      </c>
      <c r="B332" s="4">
        <f t="shared" si="10"/>
        <v>2025</v>
      </c>
      <c r="C332" s="4">
        <f t="shared" si="11"/>
        <v>11</v>
      </c>
      <c r="D332" s="5" t="s">
        <v>19</v>
      </c>
      <c r="E332" s="6" t="s">
        <v>5</v>
      </c>
      <c r="F332" s="6" t="s">
        <v>33</v>
      </c>
      <c r="G332" s="6" t="s">
        <v>43</v>
      </c>
      <c r="H332" s="6">
        <v>9</v>
      </c>
      <c r="I332" s="33">
        <v>596.1</v>
      </c>
      <c r="J332" s="36">
        <v>5364.9</v>
      </c>
      <c r="M332" s="39"/>
      <c r="R332" s="38"/>
    </row>
    <row r="333" spans="1:18" x14ac:dyDescent="0.2">
      <c r="A333" s="12">
        <v>45989</v>
      </c>
      <c r="B333" s="4">
        <f t="shared" si="10"/>
        <v>2025</v>
      </c>
      <c r="C333" s="4">
        <f t="shared" si="11"/>
        <v>11</v>
      </c>
      <c r="D333" s="5" t="s">
        <v>11</v>
      </c>
      <c r="E333" s="6" t="s">
        <v>26</v>
      </c>
      <c r="F333" s="6" t="s">
        <v>23</v>
      </c>
      <c r="G333" s="6" t="s">
        <v>47</v>
      </c>
      <c r="H333" s="6">
        <v>4</v>
      </c>
      <c r="I333" s="33">
        <v>1278.07</v>
      </c>
      <c r="J333" s="36">
        <v>5112.28</v>
      </c>
      <c r="M333" s="39"/>
      <c r="R333" s="38"/>
    </row>
    <row r="334" spans="1:18" x14ac:dyDescent="0.2">
      <c r="A334" s="12">
        <v>45990</v>
      </c>
      <c r="B334" s="4">
        <f t="shared" si="10"/>
        <v>2025</v>
      </c>
      <c r="C334" s="4">
        <f t="shared" si="11"/>
        <v>11</v>
      </c>
      <c r="D334" s="5" t="s">
        <v>8</v>
      </c>
      <c r="E334" s="6" t="s">
        <v>12</v>
      </c>
      <c r="F334" s="6" t="s">
        <v>35</v>
      </c>
      <c r="G334" s="6" t="s">
        <v>14</v>
      </c>
      <c r="H334" s="6">
        <v>3</v>
      </c>
      <c r="I334" s="33">
        <v>1252.8900000000001</v>
      </c>
      <c r="J334" s="36">
        <v>3758.67</v>
      </c>
      <c r="M334" s="39"/>
      <c r="R334" s="38"/>
    </row>
    <row r="335" spans="1:18" x14ac:dyDescent="0.2">
      <c r="A335" s="12">
        <v>45991</v>
      </c>
      <c r="B335" s="4">
        <f t="shared" si="10"/>
        <v>2025</v>
      </c>
      <c r="C335" s="4">
        <f t="shared" si="11"/>
        <v>11</v>
      </c>
      <c r="D335" s="5" t="s">
        <v>19</v>
      </c>
      <c r="E335" s="6" t="s">
        <v>9</v>
      </c>
      <c r="F335" s="6" t="s">
        <v>6</v>
      </c>
      <c r="G335" s="6" t="s">
        <v>18</v>
      </c>
      <c r="H335" s="6">
        <v>9</v>
      </c>
      <c r="I335" s="33">
        <v>1258.04</v>
      </c>
      <c r="J335" s="36">
        <v>11322.36</v>
      </c>
      <c r="M335" s="39"/>
      <c r="R335" s="38"/>
    </row>
    <row r="336" spans="1:18" x14ac:dyDescent="0.2">
      <c r="A336" s="12">
        <v>45992</v>
      </c>
      <c r="B336" s="4">
        <f t="shared" si="10"/>
        <v>2025</v>
      </c>
      <c r="C336" s="4">
        <f t="shared" si="11"/>
        <v>12</v>
      </c>
      <c r="D336" s="5" t="s">
        <v>0</v>
      </c>
      <c r="E336" s="6" t="s">
        <v>9</v>
      </c>
      <c r="F336" s="6" t="s">
        <v>13</v>
      </c>
      <c r="G336" s="6" t="s">
        <v>40</v>
      </c>
      <c r="H336" s="6">
        <v>9</v>
      </c>
      <c r="I336" s="33">
        <v>654.14</v>
      </c>
      <c r="J336" s="36">
        <v>5887.26</v>
      </c>
      <c r="M336" s="39"/>
      <c r="R336" s="38"/>
    </row>
    <row r="337" spans="1:18" x14ac:dyDescent="0.2">
      <c r="A337" s="12">
        <v>45993</v>
      </c>
      <c r="B337" s="4">
        <f t="shared" si="10"/>
        <v>2025</v>
      </c>
      <c r="C337" s="4">
        <f t="shared" si="11"/>
        <v>12</v>
      </c>
      <c r="D337" s="5" t="s">
        <v>8</v>
      </c>
      <c r="E337" s="6" t="s">
        <v>5</v>
      </c>
      <c r="F337" s="6" t="s">
        <v>38</v>
      </c>
      <c r="G337" s="6" t="s">
        <v>29</v>
      </c>
      <c r="H337" s="6">
        <v>1</v>
      </c>
      <c r="I337" s="33">
        <v>132.13</v>
      </c>
      <c r="J337" s="36">
        <v>132.13</v>
      </c>
      <c r="M337" s="39"/>
      <c r="R337" s="38"/>
    </row>
    <row r="338" spans="1:18" x14ac:dyDescent="0.2">
      <c r="A338" s="12">
        <v>45994</v>
      </c>
      <c r="B338" s="4">
        <f t="shared" si="10"/>
        <v>2025</v>
      </c>
      <c r="C338" s="4">
        <f t="shared" si="11"/>
        <v>12</v>
      </c>
      <c r="D338" s="5" t="s">
        <v>0</v>
      </c>
      <c r="E338" s="6" t="s">
        <v>5</v>
      </c>
      <c r="F338" s="6" t="s">
        <v>38</v>
      </c>
      <c r="G338" s="6" t="s">
        <v>32</v>
      </c>
      <c r="H338" s="6">
        <v>6</v>
      </c>
      <c r="I338" s="33">
        <v>792.45</v>
      </c>
      <c r="J338" s="36">
        <v>4754.7</v>
      </c>
      <c r="M338" s="39"/>
      <c r="R338" s="38"/>
    </row>
    <row r="339" spans="1:18" x14ac:dyDescent="0.2">
      <c r="A339" s="12">
        <v>45995</v>
      </c>
      <c r="B339" s="4">
        <f t="shared" si="10"/>
        <v>2025</v>
      </c>
      <c r="C339" s="4">
        <f t="shared" si="11"/>
        <v>12</v>
      </c>
      <c r="D339" s="5" t="s">
        <v>4</v>
      </c>
      <c r="E339" s="6" t="s">
        <v>12</v>
      </c>
      <c r="F339" s="6" t="s">
        <v>2</v>
      </c>
      <c r="G339" s="6" t="s">
        <v>44</v>
      </c>
      <c r="H339" s="6">
        <v>4</v>
      </c>
      <c r="I339" s="33">
        <v>192.4</v>
      </c>
      <c r="J339" s="36">
        <v>769.6</v>
      </c>
      <c r="M339" s="39"/>
      <c r="R339" s="38"/>
    </row>
    <row r="340" spans="1:18" x14ac:dyDescent="0.2">
      <c r="A340" s="12">
        <v>45996</v>
      </c>
      <c r="B340" s="4">
        <f t="shared" si="10"/>
        <v>2025</v>
      </c>
      <c r="C340" s="4">
        <f t="shared" si="11"/>
        <v>12</v>
      </c>
      <c r="D340" s="5" t="s">
        <v>11</v>
      </c>
      <c r="E340" s="6" t="s">
        <v>12</v>
      </c>
      <c r="F340" s="6" t="s">
        <v>33</v>
      </c>
      <c r="G340" s="6" t="s">
        <v>45</v>
      </c>
      <c r="H340" s="6">
        <v>6</v>
      </c>
      <c r="I340" s="33">
        <v>1408.96</v>
      </c>
      <c r="J340" s="36">
        <v>8453.76</v>
      </c>
      <c r="M340" s="39"/>
      <c r="R340" s="38"/>
    </row>
    <row r="341" spans="1:18" x14ac:dyDescent="0.2">
      <c r="A341" s="12">
        <v>45997</v>
      </c>
      <c r="B341" s="4">
        <f t="shared" si="10"/>
        <v>2025</v>
      </c>
      <c r="C341" s="4">
        <f t="shared" si="11"/>
        <v>12</v>
      </c>
      <c r="D341" s="5" t="s">
        <v>11</v>
      </c>
      <c r="E341" s="6" t="s">
        <v>5</v>
      </c>
      <c r="F341" s="6" t="s">
        <v>2</v>
      </c>
      <c r="G341" s="6" t="s">
        <v>7</v>
      </c>
      <c r="H341" s="6">
        <v>6</v>
      </c>
      <c r="I341" s="33">
        <v>76.209999999999994</v>
      </c>
      <c r="J341" s="36">
        <v>457.26</v>
      </c>
      <c r="M341" s="39"/>
      <c r="R341" s="38"/>
    </row>
    <row r="342" spans="1:18" x14ac:dyDescent="0.2">
      <c r="A342" s="12">
        <v>45998</v>
      </c>
      <c r="B342" s="4">
        <f t="shared" si="10"/>
        <v>2025</v>
      </c>
      <c r="C342" s="4">
        <f t="shared" si="11"/>
        <v>12</v>
      </c>
      <c r="D342" s="5" t="s">
        <v>4</v>
      </c>
      <c r="E342" s="6" t="s">
        <v>9</v>
      </c>
      <c r="F342" s="6" t="s">
        <v>23</v>
      </c>
      <c r="G342" s="6" t="s">
        <v>40</v>
      </c>
      <c r="H342" s="6">
        <v>6</v>
      </c>
      <c r="I342" s="33">
        <v>78.05</v>
      </c>
      <c r="J342" s="36">
        <v>468.3</v>
      </c>
      <c r="M342" s="39"/>
      <c r="R342" s="38"/>
    </row>
    <row r="343" spans="1:18" x14ac:dyDescent="0.2">
      <c r="A343" s="12">
        <v>45999</v>
      </c>
      <c r="B343" s="4">
        <f t="shared" si="10"/>
        <v>2025</v>
      </c>
      <c r="C343" s="4">
        <f t="shared" si="11"/>
        <v>12</v>
      </c>
      <c r="D343" s="5" t="s">
        <v>19</v>
      </c>
      <c r="E343" s="6" t="s">
        <v>26</v>
      </c>
      <c r="F343" s="6" t="s">
        <v>6</v>
      </c>
      <c r="G343" s="6" t="s">
        <v>30</v>
      </c>
      <c r="H343" s="6">
        <v>9</v>
      </c>
      <c r="I343" s="33">
        <v>733.29</v>
      </c>
      <c r="J343" s="36">
        <v>6599.61</v>
      </c>
      <c r="M343" s="39"/>
      <c r="R343" s="38"/>
    </row>
    <row r="344" spans="1:18" x14ac:dyDescent="0.2">
      <c r="A344" s="12">
        <v>46000</v>
      </c>
      <c r="B344" s="4">
        <f t="shared" si="10"/>
        <v>2025</v>
      </c>
      <c r="C344" s="4">
        <f t="shared" si="11"/>
        <v>12</v>
      </c>
      <c r="D344" s="5" t="s">
        <v>4</v>
      </c>
      <c r="E344" s="6" t="s">
        <v>9</v>
      </c>
      <c r="F344" s="6" t="s">
        <v>6</v>
      </c>
      <c r="G344" s="6" t="s">
        <v>10</v>
      </c>
      <c r="H344" s="6">
        <v>3</v>
      </c>
      <c r="I344" s="33">
        <v>370.22</v>
      </c>
      <c r="J344" s="36">
        <v>1110.6600000000001</v>
      </c>
      <c r="M344" s="39"/>
      <c r="R344" s="38"/>
    </row>
    <row r="345" spans="1:18" x14ac:dyDescent="0.2">
      <c r="A345" s="12">
        <v>46001</v>
      </c>
      <c r="B345" s="4">
        <f t="shared" si="10"/>
        <v>2025</v>
      </c>
      <c r="C345" s="4">
        <f t="shared" si="11"/>
        <v>12</v>
      </c>
      <c r="D345" s="5" t="s">
        <v>4</v>
      </c>
      <c r="E345" s="6" t="s">
        <v>1</v>
      </c>
      <c r="F345" s="6" t="s">
        <v>2</v>
      </c>
      <c r="G345" s="6" t="s">
        <v>25</v>
      </c>
      <c r="H345" s="6">
        <v>5</v>
      </c>
      <c r="I345" s="33">
        <v>1138.74</v>
      </c>
      <c r="J345" s="36">
        <v>5693.7</v>
      </c>
      <c r="M345" s="39"/>
      <c r="R345" s="38"/>
    </row>
    <row r="346" spans="1:18" x14ac:dyDescent="0.2">
      <c r="A346" s="12">
        <v>46002</v>
      </c>
      <c r="B346" s="4">
        <f t="shared" si="10"/>
        <v>2025</v>
      </c>
      <c r="C346" s="4">
        <f t="shared" si="11"/>
        <v>12</v>
      </c>
      <c r="D346" s="5" t="s">
        <v>11</v>
      </c>
      <c r="E346" s="6" t="s">
        <v>5</v>
      </c>
      <c r="F346" s="6" t="s">
        <v>2</v>
      </c>
      <c r="G346" s="6" t="s">
        <v>7</v>
      </c>
      <c r="H346" s="6">
        <v>10</v>
      </c>
      <c r="I346" s="33">
        <v>451.71</v>
      </c>
      <c r="J346" s="36">
        <v>4517.1000000000004</v>
      </c>
      <c r="M346" s="39"/>
      <c r="R346" s="38"/>
    </row>
    <row r="347" spans="1:18" x14ac:dyDescent="0.2">
      <c r="A347" s="12">
        <v>46003</v>
      </c>
      <c r="B347" s="4">
        <f t="shared" si="10"/>
        <v>2025</v>
      </c>
      <c r="C347" s="4">
        <f t="shared" si="11"/>
        <v>12</v>
      </c>
      <c r="D347" s="5" t="s">
        <v>11</v>
      </c>
      <c r="E347" s="6" t="s">
        <v>5</v>
      </c>
      <c r="F347" s="6" t="s">
        <v>16</v>
      </c>
      <c r="G347" s="6" t="s">
        <v>15</v>
      </c>
      <c r="H347" s="6">
        <v>1</v>
      </c>
      <c r="I347" s="33">
        <v>1008.48</v>
      </c>
      <c r="J347" s="36">
        <v>1008.48</v>
      </c>
      <c r="M347" s="39"/>
      <c r="R347" s="38"/>
    </row>
    <row r="348" spans="1:18" x14ac:dyDescent="0.2">
      <c r="A348" s="12">
        <v>46004</v>
      </c>
      <c r="B348" s="4">
        <f t="shared" si="10"/>
        <v>2025</v>
      </c>
      <c r="C348" s="4">
        <f t="shared" si="11"/>
        <v>12</v>
      </c>
      <c r="D348" s="5" t="s">
        <v>0</v>
      </c>
      <c r="E348" s="6" t="s">
        <v>12</v>
      </c>
      <c r="F348" s="6" t="s">
        <v>35</v>
      </c>
      <c r="G348" s="6" t="s">
        <v>14</v>
      </c>
      <c r="H348" s="6">
        <v>10</v>
      </c>
      <c r="I348" s="33">
        <v>1485.84</v>
      </c>
      <c r="J348" s="36">
        <v>14858.4</v>
      </c>
      <c r="M348" s="39"/>
      <c r="R348" s="38"/>
    </row>
    <row r="349" spans="1:18" x14ac:dyDescent="0.2">
      <c r="A349" s="12">
        <v>46005</v>
      </c>
      <c r="B349" s="4">
        <f t="shared" si="10"/>
        <v>2025</v>
      </c>
      <c r="C349" s="4">
        <f t="shared" si="11"/>
        <v>12</v>
      </c>
      <c r="D349" s="5" t="s">
        <v>4</v>
      </c>
      <c r="E349" s="6" t="s">
        <v>5</v>
      </c>
      <c r="F349" s="6" t="s">
        <v>16</v>
      </c>
      <c r="G349" s="6" t="s">
        <v>32</v>
      </c>
      <c r="H349" s="6">
        <v>6</v>
      </c>
      <c r="I349" s="33">
        <v>584.73</v>
      </c>
      <c r="J349" s="36">
        <v>3508.38</v>
      </c>
      <c r="M349" s="39"/>
      <c r="R349" s="38"/>
    </row>
    <row r="350" spans="1:18" x14ac:dyDescent="0.2">
      <c r="A350" s="12">
        <v>46006</v>
      </c>
      <c r="B350" s="4">
        <f t="shared" si="10"/>
        <v>2025</v>
      </c>
      <c r="C350" s="4">
        <f t="shared" si="11"/>
        <v>12</v>
      </c>
      <c r="D350" s="5" t="s">
        <v>0</v>
      </c>
      <c r="E350" s="6" t="s">
        <v>5</v>
      </c>
      <c r="F350" s="6" t="s">
        <v>6</v>
      </c>
      <c r="G350" s="6" t="s">
        <v>15</v>
      </c>
      <c r="H350" s="6">
        <v>1</v>
      </c>
      <c r="I350" s="33">
        <v>860.65</v>
      </c>
      <c r="J350" s="36">
        <v>860.65</v>
      </c>
      <c r="M350" s="39"/>
      <c r="R350" s="38"/>
    </row>
    <row r="351" spans="1:18" x14ac:dyDescent="0.2">
      <c r="A351" s="12">
        <v>46007</v>
      </c>
      <c r="B351" s="4">
        <f t="shared" si="10"/>
        <v>2025</v>
      </c>
      <c r="C351" s="4">
        <f t="shared" si="11"/>
        <v>12</v>
      </c>
      <c r="D351" s="5" t="s">
        <v>0</v>
      </c>
      <c r="E351" s="6" t="s">
        <v>9</v>
      </c>
      <c r="F351" s="6" t="s">
        <v>6</v>
      </c>
      <c r="G351" s="6" t="s">
        <v>41</v>
      </c>
      <c r="H351" s="6">
        <v>9</v>
      </c>
      <c r="I351" s="33">
        <v>419.77</v>
      </c>
      <c r="J351" s="36">
        <v>3777.93</v>
      </c>
      <c r="M351" s="39"/>
      <c r="R351" s="38"/>
    </row>
    <row r="352" spans="1:18" x14ac:dyDescent="0.2">
      <c r="A352" s="12">
        <v>46008</v>
      </c>
      <c r="B352" s="4">
        <f t="shared" si="10"/>
        <v>2025</v>
      </c>
      <c r="C352" s="4">
        <f t="shared" si="11"/>
        <v>12</v>
      </c>
      <c r="D352" s="5" t="s">
        <v>0</v>
      </c>
      <c r="E352" s="6" t="s">
        <v>12</v>
      </c>
      <c r="F352" s="6" t="s">
        <v>23</v>
      </c>
      <c r="G352" s="6" t="s">
        <v>20</v>
      </c>
      <c r="H352" s="6">
        <v>2</v>
      </c>
      <c r="I352" s="33">
        <v>191.06</v>
      </c>
      <c r="J352" s="36">
        <v>382.12</v>
      </c>
      <c r="M352" s="39"/>
      <c r="R352" s="38"/>
    </row>
    <row r="353" spans="1:18" x14ac:dyDescent="0.2">
      <c r="A353" s="12">
        <v>46009</v>
      </c>
      <c r="B353" s="4">
        <f t="shared" si="10"/>
        <v>2025</v>
      </c>
      <c r="C353" s="4">
        <f t="shared" si="11"/>
        <v>12</v>
      </c>
      <c r="D353" s="5" t="s">
        <v>19</v>
      </c>
      <c r="E353" s="6" t="s">
        <v>1</v>
      </c>
      <c r="F353" s="6" t="s">
        <v>13</v>
      </c>
      <c r="G353" s="6" t="s">
        <v>48</v>
      </c>
      <c r="H353" s="6">
        <v>6</v>
      </c>
      <c r="I353" s="33">
        <v>1334.74</v>
      </c>
      <c r="J353" s="36">
        <v>8008.44</v>
      </c>
      <c r="M353" s="39"/>
      <c r="R353" s="38"/>
    </row>
    <row r="354" spans="1:18" x14ac:dyDescent="0.2">
      <c r="A354" s="12">
        <v>46010</v>
      </c>
      <c r="B354" s="4">
        <f t="shared" si="10"/>
        <v>2025</v>
      </c>
      <c r="C354" s="4">
        <f t="shared" si="11"/>
        <v>12</v>
      </c>
      <c r="D354" s="5" t="s">
        <v>19</v>
      </c>
      <c r="E354" s="6" t="s">
        <v>1</v>
      </c>
      <c r="F354" s="6" t="s">
        <v>13</v>
      </c>
      <c r="G354" s="6" t="s">
        <v>34</v>
      </c>
      <c r="H354" s="6">
        <v>2</v>
      </c>
      <c r="I354" s="33">
        <v>1270.3900000000001</v>
      </c>
      <c r="J354" s="36">
        <v>2540.7800000000002</v>
      </c>
      <c r="M354" s="39"/>
      <c r="R354" s="38"/>
    </row>
    <row r="355" spans="1:18" x14ac:dyDescent="0.2">
      <c r="A355" s="12">
        <v>46011</v>
      </c>
      <c r="B355" s="4">
        <f t="shared" si="10"/>
        <v>2025</v>
      </c>
      <c r="C355" s="4">
        <f t="shared" si="11"/>
        <v>12</v>
      </c>
      <c r="D355" s="5" t="s">
        <v>19</v>
      </c>
      <c r="E355" s="6" t="s">
        <v>1</v>
      </c>
      <c r="F355" s="6" t="s">
        <v>33</v>
      </c>
      <c r="G355" s="6" t="s">
        <v>34</v>
      </c>
      <c r="H355" s="6">
        <v>8</v>
      </c>
      <c r="I355" s="33">
        <v>888.94</v>
      </c>
      <c r="J355" s="36">
        <v>7111.52</v>
      </c>
      <c r="M355" s="39"/>
      <c r="R355" s="38"/>
    </row>
    <row r="356" spans="1:18" x14ac:dyDescent="0.2">
      <c r="A356" s="12">
        <v>46012</v>
      </c>
      <c r="B356" s="4">
        <f t="shared" si="10"/>
        <v>2025</v>
      </c>
      <c r="C356" s="4">
        <f t="shared" si="11"/>
        <v>12</v>
      </c>
      <c r="D356" s="5" t="s">
        <v>0</v>
      </c>
      <c r="E356" s="6" t="s">
        <v>21</v>
      </c>
      <c r="F356" s="6" t="s">
        <v>6</v>
      </c>
      <c r="G356" s="6" t="s">
        <v>22</v>
      </c>
      <c r="H356" s="6">
        <v>1</v>
      </c>
      <c r="I356" s="33">
        <v>214.54</v>
      </c>
      <c r="J356" s="36">
        <v>214.54</v>
      </c>
      <c r="M356" s="39"/>
      <c r="R356" s="38"/>
    </row>
    <row r="357" spans="1:18" x14ac:dyDescent="0.2">
      <c r="A357" s="12">
        <v>46013</v>
      </c>
      <c r="B357" s="4">
        <f t="shared" si="10"/>
        <v>2025</v>
      </c>
      <c r="C357" s="4">
        <f t="shared" si="11"/>
        <v>12</v>
      </c>
      <c r="D357" s="5" t="s">
        <v>4</v>
      </c>
      <c r="E357" s="6" t="s">
        <v>26</v>
      </c>
      <c r="F357" s="6" t="s">
        <v>35</v>
      </c>
      <c r="G357" s="6" t="s">
        <v>27</v>
      </c>
      <c r="H357" s="6">
        <v>4</v>
      </c>
      <c r="I357" s="33">
        <v>1491.33</v>
      </c>
      <c r="J357" s="36">
        <v>5965.32</v>
      </c>
      <c r="M357" s="39"/>
      <c r="R357" s="38"/>
    </row>
    <row r="358" spans="1:18" x14ac:dyDescent="0.2">
      <c r="A358" s="12">
        <v>46014</v>
      </c>
      <c r="B358" s="4">
        <f t="shared" si="10"/>
        <v>2025</v>
      </c>
      <c r="C358" s="4">
        <f t="shared" si="11"/>
        <v>12</v>
      </c>
      <c r="D358" s="5" t="s">
        <v>4</v>
      </c>
      <c r="E358" s="6" t="s">
        <v>21</v>
      </c>
      <c r="F358" s="6" t="s">
        <v>38</v>
      </c>
      <c r="G358" s="6" t="s">
        <v>46</v>
      </c>
      <c r="H358" s="6">
        <v>1</v>
      </c>
      <c r="I358" s="33">
        <v>592.58000000000004</v>
      </c>
      <c r="J358" s="36">
        <v>592.58000000000004</v>
      </c>
      <c r="M358" s="39"/>
      <c r="R358" s="38"/>
    </row>
    <row r="359" spans="1:18" x14ac:dyDescent="0.2">
      <c r="A359" s="12">
        <v>46015</v>
      </c>
      <c r="B359" s="4">
        <f t="shared" si="10"/>
        <v>2025</v>
      </c>
      <c r="C359" s="4">
        <f t="shared" si="11"/>
        <v>12</v>
      </c>
      <c r="D359" s="5" t="s">
        <v>19</v>
      </c>
      <c r="E359" s="6" t="s">
        <v>21</v>
      </c>
      <c r="F359" s="6" t="s">
        <v>33</v>
      </c>
      <c r="G359" s="6" t="s">
        <v>28</v>
      </c>
      <c r="H359" s="6">
        <v>10</v>
      </c>
      <c r="I359" s="33">
        <v>185.59</v>
      </c>
      <c r="J359" s="36">
        <v>1855.9</v>
      </c>
      <c r="M359" s="39"/>
      <c r="R359" s="38"/>
    </row>
    <row r="360" spans="1:18" x14ac:dyDescent="0.2">
      <c r="A360" s="12">
        <v>46016</v>
      </c>
      <c r="B360" s="4">
        <f t="shared" si="10"/>
        <v>2025</v>
      </c>
      <c r="C360" s="4">
        <f t="shared" si="11"/>
        <v>12</v>
      </c>
      <c r="D360" s="5" t="s">
        <v>19</v>
      </c>
      <c r="E360" s="6" t="s">
        <v>9</v>
      </c>
      <c r="F360" s="6" t="s">
        <v>16</v>
      </c>
      <c r="G360" s="6" t="s">
        <v>40</v>
      </c>
      <c r="H360" s="6">
        <v>10</v>
      </c>
      <c r="I360" s="33">
        <v>509.65</v>
      </c>
      <c r="J360" s="36">
        <v>5096.5</v>
      </c>
      <c r="M360" s="39"/>
      <c r="R360" s="38"/>
    </row>
    <row r="361" spans="1:18" x14ac:dyDescent="0.2">
      <c r="A361" s="12">
        <v>46017</v>
      </c>
      <c r="B361" s="4">
        <f t="shared" si="10"/>
        <v>2025</v>
      </c>
      <c r="C361" s="4">
        <f t="shared" si="11"/>
        <v>12</v>
      </c>
      <c r="D361" s="5" t="s">
        <v>19</v>
      </c>
      <c r="E361" s="6" t="s">
        <v>5</v>
      </c>
      <c r="F361" s="6" t="s">
        <v>38</v>
      </c>
      <c r="G361" s="6" t="s">
        <v>15</v>
      </c>
      <c r="H361" s="6">
        <v>7</v>
      </c>
      <c r="I361" s="33">
        <v>785.79</v>
      </c>
      <c r="J361" s="36">
        <v>5500.53</v>
      </c>
      <c r="M361" s="39"/>
      <c r="R361" s="38"/>
    </row>
    <row r="362" spans="1:18" x14ac:dyDescent="0.2">
      <c r="A362" s="12">
        <v>46018</v>
      </c>
      <c r="B362" s="4">
        <f t="shared" si="10"/>
        <v>2025</v>
      </c>
      <c r="C362" s="4">
        <f t="shared" si="11"/>
        <v>12</v>
      </c>
      <c r="D362" s="5" t="s">
        <v>0</v>
      </c>
      <c r="E362" s="6" t="s">
        <v>5</v>
      </c>
      <c r="F362" s="6" t="s">
        <v>23</v>
      </c>
      <c r="G362" s="6" t="s">
        <v>43</v>
      </c>
      <c r="H362" s="6">
        <v>4</v>
      </c>
      <c r="I362" s="33">
        <v>742.64</v>
      </c>
      <c r="J362" s="36">
        <v>2970.56</v>
      </c>
      <c r="M362" s="39"/>
      <c r="R362" s="38"/>
    </row>
    <row r="363" spans="1:18" x14ac:dyDescent="0.2">
      <c r="A363" s="12">
        <v>46019</v>
      </c>
      <c r="B363" s="4">
        <f t="shared" si="10"/>
        <v>2025</v>
      </c>
      <c r="C363" s="4">
        <f t="shared" si="11"/>
        <v>12</v>
      </c>
      <c r="D363" s="5" t="s">
        <v>4</v>
      </c>
      <c r="E363" s="6" t="s">
        <v>21</v>
      </c>
      <c r="F363" s="6" t="s">
        <v>6</v>
      </c>
      <c r="G363" s="6" t="s">
        <v>37</v>
      </c>
      <c r="H363" s="6">
        <v>5</v>
      </c>
      <c r="I363" s="33">
        <v>1057.8599999999999</v>
      </c>
      <c r="J363" s="36">
        <v>5289.3</v>
      </c>
      <c r="M363" s="39"/>
      <c r="R363" s="38"/>
    </row>
    <row r="364" spans="1:18" x14ac:dyDescent="0.2">
      <c r="A364" s="12">
        <v>46020</v>
      </c>
      <c r="B364" s="4">
        <f t="shared" si="10"/>
        <v>2025</v>
      </c>
      <c r="C364" s="4">
        <f t="shared" si="11"/>
        <v>12</v>
      </c>
      <c r="D364" s="5" t="s">
        <v>19</v>
      </c>
      <c r="E364" s="6" t="s">
        <v>5</v>
      </c>
      <c r="F364" s="6" t="s">
        <v>23</v>
      </c>
      <c r="G364" s="6" t="s">
        <v>32</v>
      </c>
      <c r="H364" s="6">
        <v>9</v>
      </c>
      <c r="I364" s="33">
        <v>912.15</v>
      </c>
      <c r="J364" s="36">
        <v>8209.35</v>
      </c>
      <c r="M364" s="39"/>
      <c r="R364" s="38"/>
    </row>
    <row r="365" spans="1:18" x14ac:dyDescent="0.2">
      <c r="A365" s="12">
        <v>46021</v>
      </c>
      <c r="B365" s="4">
        <f t="shared" si="10"/>
        <v>2025</v>
      </c>
      <c r="C365" s="4">
        <f t="shared" si="11"/>
        <v>12</v>
      </c>
      <c r="D365" s="5" t="s">
        <v>0</v>
      </c>
      <c r="E365" s="6" t="s">
        <v>12</v>
      </c>
      <c r="F365" s="6" t="s">
        <v>2</v>
      </c>
      <c r="G365" s="6" t="s">
        <v>45</v>
      </c>
      <c r="H365" s="6">
        <v>9</v>
      </c>
      <c r="I365" s="33">
        <v>337.82</v>
      </c>
      <c r="J365" s="36">
        <v>3040.38</v>
      </c>
      <c r="M365" s="39"/>
      <c r="R365" s="38"/>
    </row>
    <row r="366" spans="1:18" x14ac:dyDescent="0.2">
      <c r="A366" s="12">
        <v>46022</v>
      </c>
      <c r="B366" s="4">
        <f t="shared" si="10"/>
        <v>2025</v>
      </c>
      <c r="C366" s="4">
        <f t="shared" si="11"/>
        <v>12</v>
      </c>
      <c r="D366" s="5" t="s">
        <v>19</v>
      </c>
      <c r="E366" s="6" t="s">
        <v>12</v>
      </c>
      <c r="F366" s="6" t="s">
        <v>13</v>
      </c>
      <c r="G366" s="6" t="s">
        <v>20</v>
      </c>
      <c r="H366" s="6">
        <v>6</v>
      </c>
      <c r="I366" s="33">
        <v>233.94</v>
      </c>
      <c r="J366" s="36">
        <v>1403.64</v>
      </c>
      <c r="M366" s="39"/>
      <c r="R366" s="38"/>
    </row>
    <row r="367" spans="1:18" x14ac:dyDescent="0.2">
      <c r="A367" s="12">
        <v>45292</v>
      </c>
      <c r="B367" s="4">
        <f t="shared" si="10"/>
        <v>2024</v>
      </c>
      <c r="C367" s="4">
        <f t="shared" si="11"/>
        <v>1</v>
      </c>
      <c r="D367" s="5" t="s">
        <v>8</v>
      </c>
      <c r="E367" s="6" t="s">
        <v>12</v>
      </c>
      <c r="F367" s="6" t="s">
        <v>16</v>
      </c>
      <c r="G367" s="6" t="s">
        <v>20</v>
      </c>
      <c r="H367" s="6">
        <v>5</v>
      </c>
      <c r="I367" s="33">
        <v>60.89</v>
      </c>
      <c r="J367" s="36">
        <v>304.45</v>
      </c>
      <c r="M367" s="39"/>
      <c r="R367" s="38"/>
    </row>
    <row r="368" spans="1:18" x14ac:dyDescent="0.2">
      <c r="A368" s="12">
        <v>45293</v>
      </c>
      <c r="B368" s="4">
        <f t="shared" si="10"/>
        <v>2024</v>
      </c>
      <c r="C368" s="4">
        <f t="shared" si="11"/>
        <v>1</v>
      </c>
      <c r="D368" s="5" t="s">
        <v>0</v>
      </c>
      <c r="E368" s="6" t="s">
        <v>9</v>
      </c>
      <c r="F368" s="6" t="s">
        <v>38</v>
      </c>
      <c r="G368" s="6" t="s">
        <v>18</v>
      </c>
      <c r="H368" s="6">
        <v>3</v>
      </c>
      <c r="I368" s="33">
        <v>668.76</v>
      </c>
      <c r="J368" s="36">
        <v>2006.28</v>
      </c>
      <c r="M368" s="39"/>
      <c r="R368" s="38"/>
    </row>
    <row r="369" spans="1:18" x14ac:dyDescent="0.2">
      <c r="A369" s="12">
        <v>45294</v>
      </c>
      <c r="B369" s="4">
        <f t="shared" si="10"/>
        <v>2024</v>
      </c>
      <c r="C369" s="4">
        <f t="shared" si="11"/>
        <v>1</v>
      </c>
      <c r="D369" s="5" t="s">
        <v>11</v>
      </c>
      <c r="E369" s="6" t="s">
        <v>12</v>
      </c>
      <c r="F369" s="6" t="s">
        <v>33</v>
      </c>
      <c r="G369" s="6" t="s">
        <v>20</v>
      </c>
      <c r="H369" s="6">
        <v>2</v>
      </c>
      <c r="I369" s="33">
        <v>1350.53</v>
      </c>
      <c r="J369" s="36">
        <v>2701.06</v>
      </c>
      <c r="M369" s="39"/>
      <c r="R369" s="38"/>
    </row>
    <row r="370" spans="1:18" x14ac:dyDescent="0.2">
      <c r="A370" s="12">
        <v>45295</v>
      </c>
      <c r="B370" s="4">
        <f t="shared" si="10"/>
        <v>2024</v>
      </c>
      <c r="C370" s="4">
        <f t="shared" si="11"/>
        <v>1</v>
      </c>
      <c r="D370" s="5" t="s">
        <v>0</v>
      </c>
      <c r="E370" s="6" t="s">
        <v>12</v>
      </c>
      <c r="F370" s="6" t="s">
        <v>6</v>
      </c>
      <c r="G370" s="6" t="s">
        <v>14</v>
      </c>
      <c r="H370" s="6">
        <v>3</v>
      </c>
      <c r="I370" s="33">
        <v>91.91</v>
      </c>
      <c r="J370" s="36">
        <v>275.73</v>
      </c>
      <c r="M370" s="39"/>
      <c r="R370" s="38"/>
    </row>
    <row r="371" spans="1:18" x14ac:dyDescent="0.2">
      <c r="A371" s="12">
        <v>45296</v>
      </c>
      <c r="B371" s="4">
        <f t="shared" si="10"/>
        <v>2024</v>
      </c>
      <c r="C371" s="4">
        <f t="shared" si="11"/>
        <v>1</v>
      </c>
      <c r="D371" s="5" t="s">
        <v>19</v>
      </c>
      <c r="E371" s="6" t="s">
        <v>9</v>
      </c>
      <c r="F371" s="6" t="s">
        <v>2</v>
      </c>
      <c r="G371" s="6" t="s">
        <v>10</v>
      </c>
      <c r="H371" s="6">
        <v>9</v>
      </c>
      <c r="I371" s="33">
        <v>1087.25</v>
      </c>
      <c r="J371" s="36">
        <v>9785.25</v>
      </c>
      <c r="M371" s="39"/>
      <c r="R371" s="38"/>
    </row>
    <row r="372" spans="1:18" x14ac:dyDescent="0.2">
      <c r="A372" s="12">
        <v>45297</v>
      </c>
      <c r="B372" s="4">
        <f t="shared" si="10"/>
        <v>2024</v>
      </c>
      <c r="C372" s="4">
        <f t="shared" si="11"/>
        <v>1</v>
      </c>
      <c r="D372" s="5" t="s">
        <v>4</v>
      </c>
      <c r="E372" s="6" t="s">
        <v>9</v>
      </c>
      <c r="F372" s="6" t="s">
        <v>2</v>
      </c>
      <c r="G372" s="6" t="s">
        <v>10</v>
      </c>
      <c r="H372" s="6">
        <v>8</v>
      </c>
      <c r="I372" s="33">
        <v>404.02</v>
      </c>
      <c r="J372" s="36">
        <v>3232.16</v>
      </c>
      <c r="M372" s="39"/>
      <c r="R372" s="38"/>
    </row>
    <row r="373" spans="1:18" x14ac:dyDescent="0.2">
      <c r="A373" s="12">
        <v>45298</v>
      </c>
      <c r="B373" s="4">
        <f t="shared" si="10"/>
        <v>2024</v>
      </c>
      <c r="C373" s="4">
        <f t="shared" si="11"/>
        <v>1</v>
      </c>
      <c r="D373" s="5" t="s">
        <v>19</v>
      </c>
      <c r="E373" s="6" t="s">
        <v>5</v>
      </c>
      <c r="F373" s="6" t="s">
        <v>16</v>
      </c>
      <c r="G373" s="6" t="s">
        <v>15</v>
      </c>
      <c r="H373" s="6">
        <v>3</v>
      </c>
      <c r="I373" s="33">
        <v>1189.5</v>
      </c>
      <c r="J373" s="36">
        <v>3568.5</v>
      </c>
      <c r="M373" s="39"/>
      <c r="R373" s="38"/>
    </row>
    <row r="374" spans="1:18" x14ac:dyDescent="0.2">
      <c r="A374" s="12">
        <v>45299</v>
      </c>
      <c r="B374" s="4">
        <f t="shared" si="10"/>
        <v>2024</v>
      </c>
      <c r="C374" s="4">
        <f t="shared" si="11"/>
        <v>1</v>
      </c>
      <c r="D374" s="5" t="s">
        <v>8</v>
      </c>
      <c r="E374" s="6" t="s">
        <v>9</v>
      </c>
      <c r="F374" s="6" t="s">
        <v>35</v>
      </c>
      <c r="G374" s="6" t="s">
        <v>18</v>
      </c>
      <c r="H374" s="6">
        <v>6</v>
      </c>
      <c r="I374" s="33">
        <v>1112.4000000000001</v>
      </c>
      <c r="J374" s="36">
        <v>6674.4</v>
      </c>
      <c r="M374" s="39"/>
      <c r="R374" s="38"/>
    </row>
    <row r="375" spans="1:18" x14ac:dyDescent="0.2">
      <c r="A375" s="12">
        <v>45300</v>
      </c>
      <c r="B375" s="4">
        <f t="shared" si="10"/>
        <v>2024</v>
      </c>
      <c r="C375" s="4">
        <f t="shared" si="11"/>
        <v>1</v>
      </c>
      <c r="D375" s="5" t="s">
        <v>19</v>
      </c>
      <c r="E375" s="6" t="s">
        <v>1</v>
      </c>
      <c r="F375" s="6" t="s">
        <v>38</v>
      </c>
      <c r="G375" s="6" t="s">
        <v>25</v>
      </c>
      <c r="H375" s="6">
        <v>5</v>
      </c>
      <c r="I375" s="33">
        <v>192.14</v>
      </c>
      <c r="J375" s="36">
        <v>960.7</v>
      </c>
      <c r="M375" s="39"/>
      <c r="R375" s="38"/>
    </row>
    <row r="376" spans="1:18" x14ac:dyDescent="0.2">
      <c r="A376" s="12">
        <v>45301</v>
      </c>
      <c r="B376" s="4">
        <f t="shared" si="10"/>
        <v>2024</v>
      </c>
      <c r="C376" s="4">
        <f t="shared" si="11"/>
        <v>1</v>
      </c>
      <c r="D376" s="5" t="s">
        <v>11</v>
      </c>
      <c r="E376" s="6" t="s">
        <v>12</v>
      </c>
      <c r="F376" s="6" t="s">
        <v>13</v>
      </c>
      <c r="G376" s="6" t="s">
        <v>20</v>
      </c>
      <c r="H376" s="6">
        <v>8</v>
      </c>
      <c r="I376" s="33">
        <v>1024.95</v>
      </c>
      <c r="J376" s="36">
        <v>8199.6</v>
      </c>
      <c r="M376" s="39"/>
      <c r="R376" s="38"/>
    </row>
    <row r="377" spans="1:18" x14ac:dyDescent="0.2">
      <c r="A377" s="12">
        <v>45302</v>
      </c>
      <c r="B377" s="4">
        <f t="shared" si="10"/>
        <v>2024</v>
      </c>
      <c r="C377" s="4">
        <f t="shared" si="11"/>
        <v>1</v>
      </c>
      <c r="D377" s="5" t="s">
        <v>19</v>
      </c>
      <c r="E377" s="6" t="s">
        <v>1</v>
      </c>
      <c r="F377" s="6" t="s">
        <v>38</v>
      </c>
      <c r="G377" s="6" t="s">
        <v>3</v>
      </c>
      <c r="H377" s="6">
        <v>3</v>
      </c>
      <c r="I377" s="33">
        <v>642.04</v>
      </c>
      <c r="J377" s="36">
        <v>1926.12</v>
      </c>
      <c r="M377" s="39"/>
      <c r="R377" s="38"/>
    </row>
    <row r="378" spans="1:18" x14ac:dyDescent="0.2">
      <c r="A378" s="12">
        <v>45303</v>
      </c>
      <c r="B378" s="4">
        <f t="shared" si="10"/>
        <v>2024</v>
      </c>
      <c r="C378" s="4">
        <f t="shared" si="11"/>
        <v>1</v>
      </c>
      <c r="D378" s="5" t="s">
        <v>0</v>
      </c>
      <c r="E378" s="6" t="s">
        <v>5</v>
      </c>
      <c r="F378" s="6" t="s">
        <v>13</v>
      </c>
      <c r="G378" s="6" t="s">
        <v>7</v>
      </c>
      <c r="H378" s="6">
        <v>7</v>
      </c>
      <c r="I378" s="33">
        <v>219.03</v>
      </c>
      <c r="J378" s="36">
        <v>1533.21</v>
      </c>
      <c r="M378" s="39"/>
      <c r="R378" s="38"/>
    </row>
    <row r="379" spans="1:18" x14ac:dyDescent="0.2">
      <c r="A379" s="12">
        <v>45304</v>
      </c>
      <c r="B379" s="4">
        <f t="shared" si="10"/>
        <v>2024</v>
      </c>
      <c r="C379" s="4">
        <f t="shared" si="11"/>
        <v>1</v>
      </c>
      <c r="D379" s="5" t="s">
        <v>11</v>
      </c>
      <c r="E379" s="6" t="s">
        <v>26</v>
      </c>
      <c r="F379" s="6" t="s">
        <v>2</v>
      </c>
      <c r="G379" s="6" t="s">
        <v>47</v>
      </c>
      <c r="H379" s="6">
        <v>3</v>
      </c>
      <c r="I379" s="33">
        <v>318.20999999999998</v>
      </c>
      <c r="J379" s="36">
        <v>954.63</v>
      </c>
      <c r="M379" s="39"/>
      <c r="R379" s="38"/>
    </row>
    <row r="380" spans="1:18" x14ac:dyDescent="0.2">
      <c r="A380" s="12">
        <v>45305</v>
      </c>
      <c r="B380" s="4">
        <f t="shared" si="10"/>
        <v>2024</v>
      </c>
      <c r="C380" s="4">
        <f t="shared" si="11"/>
        <v>1</v>
      </c>
      <c r="D380" s="5" t="s">
        <v>11</v>
      </c>
      <c r="E380" s="6" t="s">
        <v>21</v>
      </c>
      <c r="F380" s="6" t="s">
        <v>16</v>
      </c>
      <c r="G380" s="6" t="s">
        <v>22</v>
      </c>
      <c r="H380" s="6">
        <v>6</v>
      </c>
      <c r="I380" s="33">
        <v>55.45</v>
      </c>
      <c r="J380" s="36">
        <v>332.7</v>
      </c>
      <c r="M380" s="39"/>
      <c r="R380" s="38"/>
    </row>
    <row r="381" spans="1:18" x14ac:dyDescent="0.2">
      <c r="A381" s="12">
        <v>45306</v>
      </c>
      <c r="B381" s="4">
        <f t="shared" si="10"/>
        <v>2024</v>
      </c>
      <c r="C381" s="4">
        <f t="shared" si="11"/>
        <v>1</v>
      </c>
      <c r="D381" s="5" t="s">
        <v>8</v>
      </c>
      <c r="E381" s="6" t="s">
        <v>9</v>
      </c>
      <c r="F381" s="6" t="s">
        <v>23</v>
      </c>
      <c r="G381" s="6" t="s">
        <v>18</v>
      </c>
      <c r="H381" s="6">
        <v>9</v>
      </c>
      <c r="I381" s="33">
        <v>163.55000000000001</v>
      </c>
      <c r="J381" s="36">
        <v>1471.95</v>
      </c>
      <c r="M381" s="39"/>
      <c r="R381" s="38"/>
    </row>
    <row r="382" spans="1:18" x14ac:dyDescent="0.2">
      <c r="A382" s="12">
        <v>45307</v>
      </c>
      <c r="B382" s="4">
        <f t="shared" si="10"/>
        <v>2024</v>
      </c>
      <c r="C382" s="4">
        <f t="shared" si="11"/>
        <v>1</v>
      </c>
      <c r="D382" s="5" t="s">
        <v>4</v>
      </c>
      <c r="E382" s="6" t="s">
        <v>9</v>
      </c>
      <c r="F382" s="6" t="s">
        <v>23</v>
      </c>
      <c r="G382" s="6" t="s">
        <v>10</v>
      </c>
      <c r="H382" s="6">
        <v>10</v>
      </c>
      <c r="I382" s="33">
        <v>531.83000000000004</v>
      </c>
      <c r="J382" s="36">
        <v>5318.3</v>
      </c>
      <c r="M382" s="39"/>
      <c r="R382" s="38"/>
    </row>
    <row r="383" spans="1:18" x14ac:dyDescent="0.2">
      <c r="A383" s="12">
        <v>45308</v>
      </c>
      <c r="B383" s="4">
        <f t="shared" si="10"/>
        <v>2024</v>
      </c>
      <c r="C383" s="4">
        <f t="shared" si="11"/>
        <v>1</v>
      </c>
      <c r="D383" s="5" t="s">
        <v>8</v>
      </c>
      <c r="E383" s="6" t="s">
        <v>12</v>
      </c>
      <c r="F383" s="6" t="s">
        <v>23</v>
      </c>
      <c r="G383" s="6" t="s">
        <v>44</v>
      </c>
      <c r="H383" s="6">
        <v>6</v>
      </c>
      <c r="I383" s="33">
        <v>566.86</v>
      </c>
      <c r="J383" s="36">
        <v>3401.16</v>
      </c>
      <c r="M383" s="39"/>
      <c r="R383" s="38"/>
    </row>
    <row r="384" spans="1:18" x14ac:dyDescent="0.2">
      <c r="A384" s="12">
        <v>45309</v>
      </c>
      <c r="B384" s="4">
        <f t="shared" si="10"/>
        <v>2024</v>
      </c>
      <c r="C384" s="4">
        <f t="shared" si="11"/>
        <v>1</v>
      </c>
      <c r="D384" s="5" t="s">
        <v>0</v>
      </c>
      <c r="E384" s="6" t="s">
        <v>21</v>
      </c>
      <c r="F384" s="6" t="s">
        <v>33</v>
      </c>
      <c r="G384" s="6" t="s">
        <v>22</v>
      </c>
      <c r="H384" s="6">
        <v>1</v>
      </c>
      <c r="I384" s="33">
        <v>699.53</v>
      </c>
      <c r="J384" s="36">
        <v>699.53</v>
      </c>
      <c r="M384" s="39"/>
      <c r="R384" s="38"/>
    </row>
    <row r="385" spans="1:18" x14ac:dyDescent="0.2">
      <c r="A385" s="12">
        <v>45310</v>
      </c>
      <c r="B385" s="4">
        <f t="shared" si="10"/>
        <v>2024</v>
      </c>
      <c r="C385" s="4">
        <f t="shared" si="11"/>
        <v>1</v>
      </c>
      <c r="D385" s="5" t="s">
        <v>8</v>
      </c>
      <c r="E385" s="6" t="s">
        <v>26</v>
      </c>
      <c r="F385" s="6" t="s">
        <v>2</v>
      </c>
      <c r="G385" s="6" t="s">
        <v>30</v>
      </c>
      <c r="H385" s="6">
        <v>6</v>
      </c>
      <c r="I385" s="33">
        <v>408.58</v>
      </c>
      <c r="J385" s="36">
        <v>2451.48</v>
      </c>
      <c r="M385" s="39"/>
      <c r="R385" s="38"/>
    </row>
    <row r="386" spans="1:18" x14ac:dyDescent="0.2">
      <c r="A386" s="12">
        <v>45311</v>
      </c>
      <c r="B386" s="4">
        <f t="shared" si="10"/>
        <v>2024</v>
      </c>
      <c r="C386" s="4">
        <f t="shared" si="11"/>
        <v>1</v>
      </c>
      <c r="D386" s="5" t="s">
        <v>0</v>
      </c>
      <c r="E386" s="6" t="s">
        <v>5</v>
      </c>
      <c r="F386" s="6" t="s">
        <v>13</v>
      </c>
      <c r="G386" s="6" t="s">
        <v>43</v>
      </c>
      <c r="H386" s="6">
        <v>7</v>
      </c>
      <c r="I386" s="33">
        <v>730.9</v>
      </c>
      <c r="J386" s="36">
        <v>5116.3</v>
      </c>
      <c r="M386" s="39"/>
      <c r="R386" s="38"/>
    </row>
    <row r="387" spans="1:18" x14ac:dyDescent="0.2">
      <c r="A387" s="12">
        <v>45312</v>
      </c>
      <c r="B387" s="4">
        <f t="shared" ref="B387:B450" si="12">YEAR(A387)</f>
        <v>2024</v>
      </c>
      <c r="C387" s="4">
        <f t="shared" ref="C387:C450" si="13">MONTH(A387)</f>
        <v>1</v>
      </c>
      <c r="D387" s="5" t="s">
        <v>8</v>
      </c>
      <c r="E387" s="6" t="s">
        <v>21</v>
      </c>
      <c r="F387" s="6" t="s">
        <v>33</v>
      </c>
      <c r="G387" s="6" t="s">
        <v>28</v>
      </c>
      <c r="H387" s="6">
        <v>1</v>
      </c>
      <c r="I387" s="33">
        <v>675.93</v>
      </c>
      <c r="J387" s="36">
        <v>675.93</v>
      </c>
      <c r="M387" s="39"/>
      <c r="R387" s="38"/>
    </row>
    <row r="388" spans="1:18" x14ac:dyDescent="0.2">
      <c r="A388" s="12">
        <v>45313</v>
      </c>
      <c r="B388" s="4">
        <f t="shared" si="12"/>
        <v>2024</v>
      </c>
      <c r="C388" s="4">
        <f t="shared" si="13"/>
        <v>1</v>
      </c>
      <c r="D388" s="5" t="s">
        <v>11</v>
      </c>
      <c r="E388" s="6" t="s">
        <v>9</v>
      </c>
      <c r="F388" s="6" t="s">
        <v>2</v>
      </c>
      <c r="G388" s="6" t="s">
        <v>40</v>
      </c>
      <c r="H388" s="6">
        <v>7</v>
      </c>
      <c r="I388" s="33">
        <v>1144.0899999999999</v>
      </c>
      <c r="J388" s="36">
        <v>8008.63</v>
      </c>
      <c r="M388" s="39"/>
      <c r="R388" s="38"/>
    </row>
    <row r="389" spans="1:18" x14ac:dyDescent="0.2">
      <c r="A389" s="12">
        <v>45314</v>
      </c>
      <c r="B389" s="4">
        <f t="shared" si="12"/>
        <v>2024</v>
      </c>
      <c r="C389" s="4">
        <f t="shared" si="13"/>
        <v>1</v>
      </c>
      <c r="D389" s="5" t="s">
        <v>0</v>
      </c>
      <c r="E389" s="6" t="s">
        <v>21</v>
      </c>
      <c r="F389" s="6" t="s">
        <v>16</v>
      </c>
      <c r="G389" s="6" t="s">
        <v>37</v>
      </c>
      <c r="H389" s="6">
        <v>8</v>
      </c>
      <c r="I389" s="33">
        <v>1350.53</v>
      </c>
      <c r="J389" s="36">
        <v>10804.24</v>
      </c>
      <c r="M389" s="39"/>
      <c r="R389" s="38"/>
    </row>
    <row r="390" spans="1:18" x14ac:dyDescent="0.2">
      <c r="A390" s="12">
        <v>45315</v>
      </c>
      <c r="B390" s="4">
        <f t="shared" si="12"/>
        <v>2024</v>
      </c>
      <c r="C390" s="4">
        <f t="shared" si="13"/>
        <v>1</v>
      </c>
      <c r="D390" s="5" t="s">
        <v>4</v>
      </c>
      <c r="E390" s="6" t="s">
        <v>9</v>
      </c>
      <c r="F390" s="6" t="s">
        <v>38</v>
      </c>
      <c r="G390" s="6" t="s">
        <v>17</v>
      </c>
      <c r="H390" s="6">
        <v>4</v>
      </c>
      <c r="I390" s="33">
        <v>1427.44</v>
      </c>
      <c r="J390" s="36">
        <v>5709.76</v>
      </c>
      <c r="M390" s="39"/>
      <c r="R390" s="38"/>
    </row>
    <row r="391" spans="1:18" x14ac:dyDescent="0.2">
      <c r="A391" s="12">
        <v>45316</v>
      </c>
      <c r="B391" s="4">
        <f t="shared" si="12"/>
        <v>2024</v>
      </c>
      <c r="C391" s="4">
        <f t="shared" si="13"/>
        <v>1</v>
      </c>
      <c r="D391" s="5" t="s">
        <v>8</v>
      </c>
      <c r="E391" s="6" t="s">
        <v>9</v>
      </c>
      <c r="F391" s="6" t="s">
        <v>23</v>
      </c>
      <c r="G391" s="6" t="s">
        <v>18</v>
      </c>
      <c r="H391" s="6">
        <v>1</v>
      </c>
      <c r="I391" s="33">
        <v>994.86</v>
      </c>
      <c r="J391" s="36">
        <v>994.86</v>
      </c>
      <c r="M391" s="39"/>
      <c r="R391" s="38"/>
    </row>
    <row r="392" spans="1:18" x14ac:dyDescent="0.2">
      <c r="A392" s="12">
        <v>45317</v>
      </c>
      <c r="B392" s="4">
        <f t="shared" si="12"/>
        <v>2024</v>
      </c>
      <c r="C392" s="4">
        <f t="shared" si="13"/>
        <v>1</v>
      </c>
      <c r="D392" s="5" t="s">
        <v>19</v>
      </c>
      <c r="E392" s="6" t="s">
        <v>5</v>
      </c>
      <c r="F392" s="6" t="s">
        <v>38</v>
      </c>
      <c r="G392" s="6" t="s">
        <v>43</v>
      </c>
      <c r="H392" s="6">
        <v>9</v>
      </c>
      <c r="I392" s="33">
        <v>213.57</v>
      </c>
      <c r="J392" s="36">
        <v>1922.13</v>
      </c>
      <c r="M392" s="39"/>
      <c r="R392" s="38"/>
    </row>
    <row r="393" spans="1:18" x14ac:dyDescent="0.2">
      <c r="A393" s="12">
        <v>45318</v>
      </c>
      <c r="B393" s="4">
        <f t="shared" si="12"/>
        <v>2024</v>
      </c>
      <c r="C393" s="4">
        <f t="shared" si="13"/>
        <v>1</v>
      </c>
      <c r="D393" s="5" t="s">
        <v>19</v>
      </c>
      <c r="E393" s="6" t="s">
        <v>21</v>
      </c>
      <c r="F393" s="6" t="s">
        <v>33</v>
      </c>
      <c r="G393" s="6" t="s">
        <v>22</v>
      </c>
      <c r="H393" s="6">
        <v>7</v>
      </c>
      <c r="I393" s="33">
        <v>478.07</v>
      </c>
      <c r="J393" s="36">
        <v>3346.49</v>
      </c>
      <c r="M393" s="39"/>
      <c r="R393" s="38"/>
    </row>
    <row r="394" spans="1:18" x14ac:dyDescent="0.2">
      <c r="A394" s="12">
        <v>45319</v>
      </c>
      <c r="B394" s="4">
        <f t="shared" si="12"/>
        <v>2024</v>
      </c>
      <c r="C394" s="4">
        <f t="shared" si="13"/>
        <v>1</v>
      </c>
      <c r="D394" s="5" t="s">
        <v>0</v>
      </c>
      <c r="E394" s="6" t="s">
        <v>12</v>
      </c>
      <c r="F394" s="6" t="s">
        <v>23</v>
      </c>
      <c r="G394" s="6" t="s">
        <v>44</v>
      </c>
      <c r="H394" s="6">
        <v>7</v>
      </c>
      <c r="I394" s="33">
        <v>337.32</v>
      </c>
      <c r="J394" s="36">
        <v>2361.2399999999998</v>
      </c>
      <c r="M394" s="39"/>
      <c r="R394" s="38"/>
    </row>
    <row r="395" spans="1:18" x14ac:dyDescent="0.2">
      <c r="A395" s="12">
        <v>45320</v>
      </c>
      <c r="B395" s="4">
        <f t="shared" si="12"/>
        <v>2024</v>
      </c>
      <c r="C395" s="4">
        <f t="shared" si="13"/>
        <v>1</v>
      </c>
      <c r="D395" s="5" t="s">
        <v>0</v>
      </c>
      <c r="E395" s="6" t="s">
        <v>1</v>
      </c>
      <c r="F395" s="6" t="s">
        <v>16</v>
      </c>
      <c r="G395" s="6" t="s">
        <v>34</v>
      </c>
      <c r="H395" s="6">
        <v>1</v>
      </c>
      <c r="I395" s="33">
        <v>1326.12</v>
      </c>
      <c r="J395" s="36">
        <v>1326.12</v>
      </c>
      <c r="M395" s="39"/>
      <c r="R395" s="38"/>
    </row>
    <row r="396" spans="1:18" x14ac:dyDescent="0.2">
      <c r="A396" s="12">
        <v>45321</v>
      </c>
      <c r="B396" s="4">
        <f t="shared" si="12"/>
        <v>2024</v>
      </c>
      <c r="C396" s="4">
        <f t="shared" si="13"/>
        <v>1</v>
      </c>
      <c r="D396" s="5" t="s">
        <v>11</v>
      </c>
      <c r="E396" s="6" t="s">
        <v>26</v>
      </c>
      <c r="F396" s="6" t="s">
        <v>13</v>
      </c>
      <c r="G396" s="6" t="s">
        <v>39</v>
      </c>
      <c r="H396" s="6">
        <v>10</v>
      </c>
      <c r="I396" s="33">
        <v>234.43</v>
      </c>
      <c r="J396" s="36">
        <v>2344.3000000000002</v>
      </c>
      <c r="M396" s="39"/>
      <c r="R396" s="38"/>
    </row>
    <row r="397" spans="1:18" x14ac:dyDescent="0.2">
      <c r="A397" s="12">
        <v>45322</v>
      </c>
      <c r="B397" s="4">
        <f t="shared" si="12"/>
        <v>2024</v>
      </c>
      <c r="C397" s="4">
        <f t="shared" si="13"/>
        <v>1</v>
      </c>
      <c r="D397" s="5" t="s">
        <v>11</v>
      </c>
      <c r="E397" s="6" t="s">
        <v>21</v>
      </c>
      <c r="F397" s="6" t="s">
        <v>2</v>
      </c>
      <c r="G397" s="6" t="s">
        <v>37</v>
      </c>
      <c r="H397" s="6">
        <v>5</v>
      </c>
      <c r="I397" s="33">
        <v>225.29</v>
      </c>
      <c r="J397" s="36">
        <v>1126.45</v>
      </c>
      <c r="M397" s="39"/>
      <c r="R397" s="38"/>
    </row>
    <row r="398" spans="1:18" x14ac:dyDescent="0.2">
      <c r="A398" s="12">
        <v>45323</v>
      </c>
      <c r="B398" s="4">
        <f t="shared" si="12"/>
        <v>2024</v>
      </c>
      <c r="C398" s="4">
        <f t="shared" si="13"/>
        <v>2</v>
      </c>
      <c r="D398" s="5" t="s">
        <v>4</v>
      </c>
      <c r="E398" s="6" t="s">
        <v>12</v>
      </c>
      <c r="F398" s="6" t="s">
        <v>2</v>
      </c>
      <c r="G398" s="6" t="s">
        <v>44</v>
      </c>
      <c r="H398" s="6">
        <v>5</v>
      </c>
      <c r="I398" s="33">
        <v>1294.77</v>
      </c>
      <c r="J398" s="36">
        <v>6473.85</v>
      </c>
      <c r="M398" s="39"/>
      <c r="R398" s="38"/>
    </row>
    <row r="399" spans="1:18" x14ac:dyDescent="0.2">
      <c r="A399" s="12">
        <v>45324</v>
      </c>
      <c r="B399" s="4">
        <f t="shared" si="12"/>
        <v>2024</v>
      </c>
      <c r="C399" s="4">
        <f t="shared" si="13"/>
        <v>2</v>
      </c>
      <c r="D399" s="5" t="s">
        <v>19</v>
      </c>
      <c r="E399" s="6" t="s">
        <v>1</v>
      </c>
      <c r="F399" s="6" t="s">
        <v>2</v>
      </c>
      <c r="G399" s="6" t="s">
        <v>25</v>
      </c>
      <c r="H399" s="6">
        <v>9</v>
      </c>
      <c r="I399" s="33">
        <v>20.37</v>
      </c>
      <c r="J399" s="36">
        <v>183.33</v>
      </c>
      <c r="M399" s="39"/>
      <c r="R399" s="38"/>
    </row>
    <row r="400" spans="1:18" x14ac:dyDescent="0.2">
      <c r="A400" s="12">
        <v>45325</v>
      </c>
      <c r="B400" s="4">
        <f t="shared" si="12"/>
        <v>2024</v>
      </c>
      <c r="C400" s="4">
        <f t="shared" si="13"/>
        <v>2</v>
      </c>
      <c r="D400" s="5" t="s">
        <v>19</v>
      </c>
      <c r="E400" s="6" t="s">
        <v>1</v>
      </c>
      <c r="F400" s="6" t="s">
        <v>2</v>
      </c>
      <c r="G400" s="6" t="s">
        <v>25</v>
      </c>
      <c r="H400" s="6">
        <v>7</v>
      </c>
      <c r="I400" s="33">
        <v>1060.49</v>
      </c>
      <c r="J400" s="36">
        <v>7423.43</v>
      </c>
      <c r="M400" s="39"/>
      <c r="R400" s="38"/>
    </row>
    <row r="401" spans="1:18" x14ac:dyDescent="0.2">
      <c r="A401" s="12">
        <v>45326</v>
      </c>
      <c r="B401" s="4">
        <f t="shared" si="12"/>
        <v>2024</v>
      </c>
      <c r="C401" s="4">
        <f t="shared" si="13"/>
        <v>2</v>
      </c>
      <c r="D401" s="5" t="s">
        <v>11</v>
      </c>
      <c r="E401" s="6" t="s">
        <v>26</v>
      </c>
      <c r="F401" s="6" t="s">
        <v>33</v>
      </c>
      <c r="G401" s="6" t="s">
        <v>27</v>
      </c>
      <c r="H401" s="6">
        <v>9</v>
      </c>
      <c r="I401" s="33">
        <v>82.26</v>
      </c>
      <c r="J401" s="36">
        <v>740.34</v>
      </c>
      <c r="M401" s="39"/>
      <c r="R401" s="38"/>
    </row>
    <row r="402" spans="1:18" x14ac:dyDescent="0.2">
      <c r="A402" s="12">
        <v>45327</v>
      </c>
      <c r="B402" s="4">
        <f t="shared" si="12"/>
        <v>2024</v>
      </c>
      <c r="C402" s="4">
        <f t="shared" si="13"/>
        <v>2</v>
      </c>
      <c r="D402" s="5" t="s">
        <v>11</v>
      </c>
      <c r="E402" s="6" t="s">
        <v>9</v>
      </c>
      <c r="F402" s="6" t="s">
        <v>6</v>
      </c>
      <c r="G402" s="6" t="s">
        <v>18</v>
      </c>
      <c r="H402" s="6">
        <v>8</v>
      </c>
      <c r="I402" s="33">
        <v>922.57</v>
      </c>
      <c r="J402" s="36">
        <v>7380.56</v>
      </c>
      <c r="M402" s="39"/>
      <c r="R402" s="38"/>
    </row>
    <row r="403" spans="1:18" x14ac:dyDescent="0.2">
      <c r="A403" s="12">
        <v>45328</v>
      </c>
      <c r="B403" s="4">
        <f t="shared" si="12"/>
        <v>2024</v>
      </c>
      <c r="C403" s="4">
        <f t="shared" si="13"/>
        <v>2</v>
      </c>
      <c r="D403" s="5" t="s">
        <v>11</v>
      </c>
      <c r="E403" s="6" t="s">
        <v>26</v>
      </c>
      <c r="F403" s="6" t="s">
        <v>6</v>
      </c>
      <c r="G403" s="6" t="s">
        <v>39</v>
      </c>
      <c r="H403" s="6">
        <v>1</v>
      </c>
      <c r="I403" s="33">
        <v>106.27</v>
      </c>
      <c r="J403" s="36">
        <v>106.27</v>
      </c>
      <c r="M403" s="39"/>
      <c r="R403" s="38"/>
    </row>
    <row r="404" spans="1:18" x14ac:dyDescent="0.2">
      <c r="A404" s="12">
        <v>45329</v>
      </c>
      <c r="B404" s="4">
        <f t="shared" si="12"/>
        <v>2024</v>
      </c>
      <c r="C404" s="4">
        <f t="shared" si="13"/>
        <v>2</v>
      </c>
      <c r="D404" s="5" t="s">
        <v>8</v>
      </c>
      <c r="E404" s="6" t="s">
        <v>26</v>
      </c>
      <c r="F404" s="6" t="s">
        <v>38</v>
      </c>
      <c r="G404" s="6" t="s">
        <v>30</v>
      </c>
      <c r="H404" s="6">
        <v>1</v>
      </c>
      <c r="I404" s="33">
        <v>810.79</v>
      </c>
      <c r="J404" s="36">
        <v>810.79</v>
      </c>
      <c r="M404" s="39"/>
      <c r="R404" s="38"/>
    </row>
    <row r="405" spans="1:18" x14ac:dyDescent="0.2">
      <c r="A405" s="12">
        <v>45330</v>
      </c>
      <c r="B405" s="4">
        <f t="shared" si="12"/>
        <v>2024</v>
      </c>
      <c r="C405" s="4">
        <f t="shared" si="13"/>
        <v>2</v>
      </c>
      <c r="D405" s="5" t="s">
        <v>11</v>
      </c>
      <c r="E405" s="6" t="s">
        <v>1</v>
      </c>
      <c r="F405" s="6" t="s">
        <v>6</v>
      </c>
      <c r="G405" s="6" t="s">
        <v>48</v>
      </c>
      <c r="H405" s="6">
        <v>10</v>
      </c>
      <c r="I405" s="33">
        <v>496.75</v>
      </c>
      <c r="J405" s="36">
        <v>4967.5</v>
      </c>
      <c r="M405" s="39"/>
      <c r="R405" s="38"/>
    </row>
    <row r="406" spans="1:18" x14ac:dyDescent="0.2">
      <c r="A406" s="12">
        <v>45331</v>
      </c>
      <c r="B406" s="4">
        <f t="shared" si="12"/>
        <v>2024</v>
      </c>
      <c r="C406" s="4">
        <f t="shared" si="13"/>
        <v>2</v>
      </c>
      <c r="D406" s="5" t="s">
        <v>8</v>
      </c>
      <c r="E406" s="6" t="s">
        <v>26</v>
      </c>
      <c r="F406" s="6" t="s">
        <v>6</v>
      </c>
      <c r="G406" s="6" t="s">
        <v>27</v>
      </c>
      <c r="H406" s="6">
        <v>4</v>
      </c>
      <c r="I406" s="33">
        <v>851.79</v>
      </c>
      <c r="J406" s="36">
        <v>3407.16</v>
      </c>
      <c r="M406" s="39"/>
      <c r="R406" s="38"/>
    </row>
    <row r="407" spans="1:18" x14ac:dyDescent="0.2">
      <c r="A407" s="12">
        <v>45332</v>
      </c>
      <c r="B407" s="4">
        <f t="shared" si="12"/>
        <v>2024</v>
      </c>
      <c r="C407" s="4">
        <f t="shared" si="13"/>
        <v>2</v>
      </c>
      <c r="D407" s="5" t="s">
        <v>11</v>
      </c>
      <c r="E407" s="6" t="s">
        <v>21</v>
      </c>
      <c r="F407" s="6" t="s">
        <v>33</v>
      </c>
      <c r="G407" s="6" t="s">
        <v>28</v>
      </c>
      <c r="H407" s="6">
        <v>10</v>
      </c>
      <c r="I407" s="33">
        <v>545.13</v>
      </c>
      <c r="J407" s="36">
        <v>5451.3</v>
      </c>
      <c r="M407" s="39"/>
      <c r="R407" s="38"/>
    </row>
    <row r="408" spans="1:18" x14ac:dyDescent="0.2">
      <c r="A408" s="12">
        <v>45333</v>
      </c>
      <c r="B408" s="4">
        <f t="shared" si="12"/>
        <v>2024</v>
      </c>
      <c r="C408" s="4">
        <f t="shared" si="13"/>
        <v>2</v>
      </c>
      <c r="D408" s="5" t="s">
        <v>19</v>
      </c>
      <c r="E408" s="6" t="s">
        <v>1</v>
      </c>
      <c r="F408" s="6" t="s">
        <v>35</v>
      </c>
      <c r="G408" s="6" t="s">
        <v>3</v>
      </c>
      <c r="H408" s="6">
        <v>7</v>
      </c>
      <c r="I408" s="33">
        <v>1129.44</v>
      </c>
      <c r="J408" s="36">
        <v>7906.08</v>
      </c>
      <c r="M408" s="39"/>
      <c r="R408" s="38"/>
    </row>
    <row r="409" spans="1:18" x14ac:dyDescent="0.2">
      <c r="A409" s="12">
        <v>45334</v>
      </c>
      <c r="B409" s="4">
        <f t="shared" si="12"/>
        <v>2024</v>
      </c>
      <c r="C409" s="4">
        <f t="shared" si="13"/>
        <v>2</v>
      </c>
      <c r="D409" s="5" t="s">
        <v>19</v>
      </c>
      <c r="E409" s="6" t="s">
        <v>26</v>
      </c>
      <c r="F409" s="6" t="s">
        <v>23</v>
      </c>
      <c r="G409" s="6" t="s">
        <v>39</v>
      </c>
      <c r="H409" s="6">
        <v>7</v>
      </c>
      <c r="I409" s="33">
        <v>240.02</v>
      </c>
      <c r="J409" s="36">
        <v>1680.14</v>
      </c>
      <c r="M409" s="39"/>
      <c r="R409" s="38"/>
    </row>
    <row r="410" spans="1:18" x14ac:dyDescent="0.2">
      <c r="A410" s="12">
        <v>45335</v>
      </c>
      <c r="B410" s="4">
        <f t="shared" si="12"/>
        <v>2024</v>
      </c>
      <c r="C410" s="4">
        <f t="shared" si="13"/>
        <v>2</v>
      </c>
      <c r="D410" s="5" t="s">
        <v>19</v>
      </c>
      <c r="E410" s="6" t="s">
        <v>12</v>
      </c>
      <c r="F410" s="6" t="s">
        <v>23</v>
      </c>
      <c r="G410" s="6" t="s">
        <v>14</v>
      </c>
      <c r="H410" s="6">
        <v>4</v>
      </c>
      <c r="I410" s="33">
        <v>1472.53</v>
      </c>
      <c r="J410" s="36">
        <v>5890.12</v>
      </c>
      <c r="M410" s="39"/>
      <c r="R410" s="38"/>
    </row>
    <row r="411" spans="1:18" x14ac:dyDescent="0.2">
      <c r="A411" s="12">
        <v>45336</v>
      </c>
      <c r="B411" s="4">
        <f t="shared" si="12"/>
        <v>2024</v>
      </c>
      <c r="C411" s="4">
        <f t="shared" si="13"/>
        <v>2</v>
      </c>
      <c r="D411" s="5" t="s">
        <v>19</v>
      </c>
      <c r="E411" s="6" t="s">
        <v>12</v>
      </c>
      <c r="F411" s="6" t="s">
        <v>13</v>
      </c>
      <c r="G411" s="6" t="s">
        <v>20</v>
      </c>
      <c r="H411" s="6">
        <v>8</v>
      </c>
      <c r="I411" s="33">
        <v>1265.3599999999999</v>
      </c>
      <c r="J411" s="36">
        <v>10122.879999999999</v>
      </c>
      <c r="M411" s="39"/>
      <c r="R411" s="38"/>
    </row>
    <row r="412" spans="1:18" x14ac:dyDescent="0.2">
      <c r="A412" s="12">
        <v>45337</v>
      </c>
      <c r="B412" s="4">
        <f t="shared" si="12"/>
        <v>2024</v>
      </c>
      <c r="C412" s="4">
        <f t="shared" si="13"/>
        <v>2</v>
      </c>
      <c r="D412" s="5" t="s">
        <v>8</v>
      </c>
      <c r="E412" s="6" t="s">
        <v>21</v>
      </c>
      <c r="F412" s="6" t="s">
        <v>16</v>
      </c>
      <c r="G412" s="6" t="s">
        <v>37</v>
      </c>
      <c r="H412" s="6">
        <v>4</v>
      </c>
      <c r="I412" s="33">
        <v>593.55999999999995</v>
      </c>
      <c r="J412" s="36">
        <v>2374.2399999999998</v>
      </c>
      <c r="M412" s="39"/>
      <c r="R412" s="38"/>
    </row>
    <row r="413" spans="1:18" x14ac:dyDescent="0.2">
      <c r="A413" s="12">
        <v>45338</v>
      </c>
      <c r="B413" s="4">
        <f t="shared" si="12"/>
        <v>2024</v>
      </c>
      <c r="C413" s="4">
        <f t="shared" si="13"/>
        <v>2</v>
      </c>
      <c r="D413" s="5" t="s">
        <v>19</v>
      </c>
      <c r="E413" s="6" t="s">
        <v>21</v>
      </c>
      <c r="F413" s="6" t="s">
        <v>38</v>
      </c>
      <c r="G413" s="6" t="s">
        <v>46</v>
      </c>
      <c r="H413" s="6">
        <v>1</v>
      </c>
      <c r="I413" s="33">
        <v>220.69</v>
      </c>
      <c r="J413" s="36">
        <v>220.69</v>
      </c>
      <c r="M413" s="39"/>
      <c r="R413" s="38"/>
    </row>
    <row r="414" spans="1:18" x14ac:dyDescent="0.2">
      <c r="A414" s="12">
        <v>45339</v>
      </c>
      <c r="B414" s="4">
        <f t="shared" si="12"/>
        <v>2024</v>
      </c>
      <c r="C414" s="4">
        <f t="shared" si="13"/>
        <v>2</v>
      </c>
      <c r="D414" s="5" t="s">
        <v>11</v>
      </c>
      <c r="E414" s="6" t="s">
        <v>12</v>
      </c>
      <c r="F414" s="6" t="s">
        <v>35</v>
      </c>
      <c r="G414" s="6" t="s">
        <v>31</v>
      </c>
      <c r="H414" s="6">
        <v>2</v>
      </c>
      <c r="I414" s="33">
        <v>583.39</v>
      </c>
      <c r="J414" s="36">
        <v>1166.78</v>
      </c>
      <c r="M414" s="39"/>
      <c r="R414" s="38"/>
    </row>
    <row r="415" spans="1:18" x14ac:dyDescent="0.2">
      <c r="A415" s="12">
        <v>45340</v>
      </c>
      <c r="B415" s="4">
        <f t="shared" si="12"/>
        <v>2024</v>
      </c>
      <c r="C415" s="4">
        <f t="shared" si="13"/>
        <v>2</v>
      </c>
      <c r="D415" s="5" t="s">
        <v>4</v>
      </c>
      <c r="E415" s="6" t="s">
        <v>21</v>
      </c>
      <c r="F415" s="6" t="s">
        <v>38</v>
      </c>
      <c r="G415" s="6" t="s">
        <v>37</v>
      </c>
      <c r="H415" s="6">
        <v>3</v>
      </c>
      <c r="I415" s="33">
        <v>928.89</v>
      </c>
      <c r="J415" s="36">
        <v>2786.67</v>
      </c>
      <c r="M415" s="39"/>
      <c r="R415" s="38"/>
    </row>
    <row r="416" spans="1:18" x14ac:dyDescent="0.2">
      <c r="A416" s="12">
        <v>45341</v>
      </c>
      <c r="B416" s="4">
        <f t="shared" si="12"/>
        <v>2024</v>
      </c>
      <c r="C416" s="4">
        <f t="shared" si="13"/>
        <v>2</v>
      </c>
      <c r="D416" s="5" t="s">
        <v>11</v>
      </c>
      <c r="E416" s="6" t="s">
        <v>12</v>
      </c>
      <c r="F416" s="6" t="s">
        <v>23</v>
      </c>
      <c r="G416" s="6" t="s">
        <v>44</v>
      </c>
      <c r="H416" s="6">
        <v>1</v>
      </c>
      <c r="I416" s="33">
        <v>133.47999999999999</v>
      </c>
      <c r="J416" s="36">
        <v>133.47999999999999</v>
      </c>
      <c r="M416" s="39"/>
      <c r="R416" s="38"/>
    </row>
    <row r="417" spans="1:18" x14ac:dyDescent="0.2">
      <c r="A417" s="12">
        <v>45342</v>
      </c>
      <c r="B417" s="4">
        <f t="shared" si="12"/>
        <v>2024</v>
      </c>
      <c r="C417" s="4">
        <f t="shared" si="13"/>
        <v>2</v>
      </c>
      <c r="D417" s="5" t="s">
        <v>19</v>
      </c>
      <c r="E417" s="6" t="s">
        <v>26</v>
      </c>
      <c r="F417" s="6" t="s">
        <v>38</v>
      </c>
      <c r="G417" s="6" t="s">
        <v>39</v>
      </c>
      <c r="H417" s="6">
        <v>1</v>
      </c>
      <c r="I417" s="33">
        <v>1080.7</v>
      </c>
      <c r="J417" s="36">
        <v>1080.7</v>
      </c>
      <c r="M417" s="39"/>
      <c r="R417" s="38"/>
    </row>
    <row r="418" spans="1:18" x14ac:dyDescent="0.2">
      <c r="A418" s="12">
        <v>45343</v>
      </c>
      <c r="B418" s="4">
        <f t="shared" si="12"/>
        <v>2024</v>
      </c>
      <c r="C418" s="4">
        <f t="shared" si="13"/>
        <v>2</v>
      </c>
      <c r="D418" s="5" t="s">
        <v>8</v>
      </c>
      <c r="E418" s="6" t="s">
        <v>9</v>
      </c>
      <c r="F418" s="6" t="s">
        <v>38</v>
      </c>
      <c r="G418" s="6" t="s">
        <v>40</v>
      </c>
      <c r="H418" s="6">
        <v>1</v>
      </c>
      <c r="I418" s="33">
        <v>173.27</v>
      </c>
      <c r="J418" s="36">
        <v>173.27</v>
      </c>
      <c r="M418" s="39"/>
      <c r="R418" s="38"/>
    </row>
    <row r="419" spans="1:18" x14ac:dyDescent="0.2">
      <c r="A419" s="12">
        <v>45344</v>
      </c>
      <c r="B419" s="4">
        <f t="shared" si="12"/>
        <v>2024</v>
      </c>
      <c r="C419" s="4">
        <f t="shared" si="13"/>
        <v>2</v>
      </c>
      <c r="D419" s="5" t="s">
        <v>0</v>
      </c>
      <c r="E419" s="6" t="s">
        <v>1</v>
      </c>
      <c r="F419" s="6" t="s">
        <v>13</v>
      </c>
      <c r="G419" s="6" t="s">
        <v>34</v>
      </c>
      <c r="H419" s="6">
        <v>7</v>
      </c>
      <c r="I419" s="33">
        <v>42.16</v>
      </c>
      <c r="J419" s="36">
        <v>295.12</v>
      </c>
      <c r="M419" s="39"/>
      <c r="R419" s="38"/>
    </row>
    <row r="420" spans="1:18" x14ac:dyDescent="0.2">
      <c r="A420" s="12">
        <v>45345</v>
      </c>
      <c r="B420" s="4">
        <f t="shared" si="12"/>
        <v>2024</v>
      </c>
      <c r="C420" s="4">
        <f t="shared" si="13"/>
        <v>2</v>
      </c>
      <c r="D420" s="5" t="s">
        <v>4</v>
      </c>
      <c r="E420" s="6" t="s">
        <v>12</v>
      </c>
      <c r="F420" s="6" t="s">
        <v>35</v>
      </c>
      <c r="G420" s="6" t="s">
        <v>44</v>
      </c>
      <c r="H420" s="6">
        <v>7</v>
      </c>
      <c r="I420" s="33">
        <v>1151.58</v>
      </c>
      <c r="J420" s="36">
        <v>8061.06</v>
      </c>
      <c r="M420" s="39"/>
      <c r="R420" s="38"/>
    </row>
    <row r="421" spans="1:18" x14ac:dyDescent="0.2">
      <c r="A421" s="12">
        <v>45346</v>
      </c>
      <c r="B421" s="4">
        <f t="shared" si="12"/>
        <v>2024</v>
      </c>
      <c r="C421" s="4">
        <f t="shared" si="13"/>
        <v>2</v>
      </c>
      <c r="D421" s="5" t="s">
        <v>4</v>
      </c>
      <c r="E421" s="6" t="s">
        <v>5</v>
      </c>
      <c r="F421" s="6" t="s">
        <v>2</v>
      </c>
      <c r="G421" s="6" t="s">
        <v>15</v>
      </c>
      <c r="H421" s="6">
        <v>4</v>
      </c>
      <c r="I421" s="33">
        <v>204.8</v>
      </c>
      <c r="J421" s="36">
        <v>819.2</v>
      </c>
      <c r="M421" s="39"/>
      <c r="R421" s="38"/>
    </row>
    <row r="422" spans="1:18" x14ac:dyDescent="0.2">
      <c r="A422" s="12">
        <v>45347</v>
      </c>
      <c r="B422" s="4">
        <f t="shared" si="12"/>
        <v>2024</v>
      </c>
      <c r="C422" s="4">
        <f t="shared" si="13"/>
        <v>2</v>
      </c>
      <c r="D422" s="5" t="s">
        <v>8</v>
      </c>
      <c r="E422" s="6" t="s">
        <v>26</v>
      </c>
      <c r="F422" s="6" t="s">
        <v>35</v>
      </c>
      <c r="G422" s="6" t="s">
        <v>39</v>
      </c>
      <c r="H422" s="6">
        <v>3</v>
      </c>
      <c r="I422" s="33">
        <v>1048.17</v>
      </c>
      <c r="J422" s="36">
        <v>3144.51</v>
      </c>
      <c r="M422" s="39"/>
      <c r="R422" s="38"/>
    </row>
    <row r="423" spans="1:18" x14ac:dyDescent="0.2">
      <c r="A423" s="12">
        <v>45348</v>
      </c>
      <c r="B423" s="4">
        <f t="shared" si="12"/>
        <v>2024</v>
      </c>
      <c r="C423" s="4">
        <f t="shared" si="13"/>
        <v>2</v>
      </c>
      <c r="D423" s="5" t="s">
        <v>4</v>
      </c>
      <c r="E423" s="6" t="s">
        <v>26</v>
      </c>
      <c r="F423" s="6" t="s">
        <v>16</v>
      </c>
      <c r="G423" s="6" t="s">
        <v>30</v>
      </c>
      <c r="H423" s="6">
        <v>10</v>
      </c>
      <c r="I423" s="33">
        <v>913.17</v>
      </c>
      <c r="J423" s="36">
        <v>9131.7000000000007</v>
      </c>
      <c r="M423" s="39"/>
      <c r="R423" s="38"/>
    </row>
    <row r="424" spans="1:18" x14ac:dyDescent="0.2">
      <c r="A424" s="12">
        <v>45349</v>
      </c>
      <c r="B424" s="4">
        <f t="shared" si="12"/>
        <v>2024</v>
      </c>
      <c r="C424" s="4">
        <f t="shared" si="13"/>
        <v>2</v>
      </c>
      <c r="D424" s="5" t="s">
        <v>19</v>
      </c>
      <c r="E424" s="6" t="s">
        <v>21</v>
      </c>
      <c r="F424" s="6" t="s">
        <v>6</v>
      </c>
      <c r="G424" s="6" t="s">
        <v>37</v>
      </c>
      <c r="H424" s="6">
        <v>6</v>
      </c>
      <c r="I424" s="33">
        <v>869.89</v>
      </c>
      <c r="J424" s="36">
        <v>5219.34</v>
      </c>
      <c r="M424" s="39"/>
      <c r="R424" s="38"/>
    </row>
    <row r="425" spans="1:18" x14ac:dyDescent="0.2">
      <c r="A425" s="12">
        <v>45350</v>
      </c>
      <c r="B425" s="4">
        <f t="shared" si="12"/>
        <v>2024</v>
      </c>
      <c r="C425" s="4">
        <f t="shared" si="13"/>
        <v>2</v>
      </c>
      <c r="D425" s="5" t="s">
        <v>4</v>
      </c>
      <c r="E425" s="6" t="s">
        <v>1</v>
      </c>
      <c r="F425" s="6" t="s">
        <v>13</v>
      </c>
      <c r="G425" s="6" t="s">
        <v>25</v>
      </c>
      <c r="H425" s="6">
        <v>2</v>
      </c>
      <c r="I425" s="33">
        <v>712.28</v>
      </c>
      <c r="J425" s="36">
        <v>1424.56</v>
      </c>
      <c r="M425" s="39"/>
      <c r="R425" s="38"/>
    </row>
    <row r="426" spans="1:18" x14ac:dyDescent="0.2">
      <c r="A426" s="12">
        <v>45352</v>
      </c>
      <c r="B426" s="4">
        <f t="shared" si="12"/>
        <v>2024</v>
      </c>
      <c r="C426" s="4">
        <f t="shared" si="13"/>
        <v>3</v>
      </c>
      <c r="D426" s="5" t="s">
        <v>0</v>
      </c>
      <c r="E426" s="6" t="s">
        <v>5</v>
      </c>
      <c r="F426" s="6" t="s">
        <v>6</v>
      </c>
      <c r="G426" s="6" t="s">
        <v>29</v>
      </c>
      <c r="H426" s="6">
        <v>9</v>
      </c>
      <c r="I426" s="33">
        <v>1484.05</v>
      </c>
      <c r="J426" s="36">
        <v>13356.45</v>
      </c>
      <c r="M426" s="39"/>
      <c r="R426" s="38"/>
    </row>
    <row r="427" spans="1:18" x14ac:dyDescent="0.2">
      <c r="A427" s="12">
        <v>45353</v>
      </c>
      <c r="B427" s="4">
        <f t="shared" si="12"/>
        <v>2024</v>
      </c>
      <c r="C427" s="4">
        <f t="shared" si="13"/>
        <v>3</v>
      </c>
      <c r="D427" s="5" t="s">
        <v>0</v>
      </c>
      <c r="E427" s="6" t="s">
        <v>5</v>
      </c>
      <c r="F427" s="6" t="s">
        <v>2</v>
      </c>
      <c r="G427" s="6" t="s">
        <v>15</v>
      </c>
      <c r="H427" s="6">
        <v>4</v>
      </c>
      <c r="I427" s="33">
        <v>1326.83</v>
      </c>
      <c r="J427" s="36">
        <v>5307.32</v>
      </c>
      <c r="M427" s="39"/>
      <c r="R427" s="38"/>
    </row>
    <row r="428" spans="1:18" x14ac:dyDescent="0.2">
      <c r="A428" s="12">
        <v>45354</v>
      </c>
      <c r="B428" s="4">
        <f t="shared" si="12"/>
        <v>2024</v>
      </c>
      <c r="C428" s="4">
        <f t="shared" si="13"/>
        <v>3</v>
      </c>
      <c r="D428" s="5" t="s">
        <v>19</v>
      </c>
      <c r="E428" s="6" t="s">
        <v>26</v>
      </c>
      <c r="F428" s="6" t="s">
        <v>2</v>
      </c>
      <c r="G428" s="6" t="s">
        <v>30</v>
      </c>
      <c r="H428" s="6">
        <v>8</v>
      </c>
      <c r="I428" s="33">
        <v>1150.69</v>
      </c>
      <c r="J428" s="36">
        <v>9205.52</v>
      </c>
      <c r="M428" s="39"/>
      <c r="R428" s="38"/>
    </row>
    <row r="429" spans="1:18" x14ac:dyDescent="0.2">
      <c r="A429" s="12">
        <v>45355</v>
      </c>
      <c r="B429" s="4">
        <f t="shared" si="12"/>
        <v>2024</v>
      </c>
      <c r="C429" s="4">
        <f t="shared" si="13"/>
        <v>3</v>
      </c>
      <c r="D429" s="5" t="s">
        <v>19</v>
      </c>
      <c r="E429" s="6" t="s">
        <v>9</v>
      </c>
      <c r="F429" s="6" t="s">
        <v>33</v>
      </c>
      <c r="G429" s="6" t="s">
        <v>41</v>
      </c>
      <c r="H429" s="6">
        <v>10</v>
      </c>
      <c r="I429" s="33">
        <v>507.05</v>
      </c>
      <c r="J429" s="36">
        <v>5070.5</v>
      </c>
      <c r="M429" s="39"/>
      <c r="R429" s="38"/>
    </row>
    <row r="430" spans="1:18" x14ac:dyDescent="0.2">
      <c r="A430" s="12">
        <v>45356</v>
      </c>
      <c r="B430" s="4">
        <f t="shared" si="12"/>
        <v>2024</v>
      </c>
      <c r="C430" s="4">
        <f t="shared" si="13"/>
        <v>3</v>
      </c>
      <c r="D430" s="5" t="s">
        <v>4</v>
      </c>
      <c r="E430" s="6" t="s">
        <v>21</v>
      </c>
      <c r="F430" s="6" t="s">
        <v>13</v>
      </c>
      <c r="G430" s="6" t="s">
        <v>46</v>
      </c>
      <c r="H430" s="6">
        <v>6</v>
      </c>
      <c r="I430" s="33">
        <v>198.47</v>
      </c>
      <c r="J430" s="36">
        <v>1190.82</v>
      </c>
      <c r="M430" s="39"/>
      <c r="R430" s="38"/>
    </row>
    <row r="431" spans="1:18" x14ac:dyDescent="0.2">
      <c r="A431" s="12">
        <v>45357</v>
      </c>
      <c r="B431" s="4">
        <f t="shared" si="12"/>
        <v>2024</v>
      </c>
      <c r="C431" s="4">
        <f t="shared" si="13"/>
        <v>3</v>
      </c>
      <c r="D431" s="5" t="s">
        <v>4</v>
      </c>
      <c r="E431" s="6" t="s">
        <v>26</v>
      </c>
      <c r="F431" s="6" t="s">
        <v>6</v>
      </c>
      <c r="G431" s="6" t="s">
        <v>39</v>
      </c>
      <c r="H431" s="6">
        <v>3</v>
      </c>
      <c r="I431" s="33">
        <v>129.84</v>
      </c>
      <c r="J431" s="36">
        <v>389.52</v>
      </c>
      <c r="M431" s="39"/>
      <c r="R431" s="38"/>
    </row>
    <row r="432" spans="1:18" x14ac:dyDescent="0.2">
      <c r="A432" s="12">
        <v>45358</v>
      </c>
      <c r="B432" s="4">
        <f t="shared" si="12"/>
        <v>2024</v>
      </c>
      <c r="C432" s="4">
        <f t="shared" si="13"/>
        <v>3</v>
      </c>
      <c r="D432" s="5" t="s">
        <v>19</v>
      </c>
      <c r="E432" s="6" t="s">
        <v>26</v>
      </c>
      <c r="F432" s="6" t="s">
        <v>23</v>
      </c>
      <c r="G432" s="6" t="s">
        <v>27</v>
      </c>
      <c r="H432" s="6">
        <v>7</v>
      </c>
      <c r="I432" s="33">
        <v>360.31</v>
      </c>
      <c r="J432" s="36">
        <v>2522.17</v>
      </c>
      <c r="M432" s="39"/>
      <c r="R432" s="38"/>
    </row>
    <row r="433" spans="1:18" x14ac:dyDescent="0.2">
      <c r="A433" s="12">
        <v>45359</v>
      </c>
      <c r="B433" s="4">
        <f t="shared" si="12"/>
        <v>2024</v>
      </c>
      <c r="C433" s="4">
        <f t="shared" si="13"/>
        <v>3</v>
      </c>
      <c r="D433" s="5" t="s">
        <v>19</v>
      </c>
      <c r="E433" s="6" t="s">
        <v>26</v>
      </c>
      <c r="F433" s="6" t="s">
        <v>35</v>
      </c>
      <c r="G433" s="6" t="s">
        <v>36</v>
      </c>
      <c r="H433" s="6">
        <v>2</v>
      </c>
      <c r="I433" s="33">
        <v>711.75</v>
      </c>
      <c r="J433" s="36">
        <v>1423.5</v>
      </c>
      <c r="M433" s="39"/>
      <c r="R433" s="38"/>
    </row>
    <row r="434" spans="1:18" x14ac:dyDescent="0.2">
      <c r="A434" s="12">
        <v>45360</v>
      </c>
      <c r="B434" s="4">
        <f t="shared" si="12"/>
        <v>2024</v>
      </c>
      <c r="C434" s="4">
        <f t="shared" si="13"/>
        <v>3</v>
      </c>
      <c r="D434" s="5" t="s">
        <v>11</v>
      </c>
      <c r="E434" s="6" t="s">
        <v>5</v>
      </c>
      <c r="F434" s="6" t="s">
        <v>2</v>
      </c>
      <c r="G434" s="6" t="s">
        <v>29</v>
      </c>
      <c r="H434" s="6">
        <v>10</v>
      </c>
      <c r="I434" s="33">
        <v>1268.8699999999999</v>
      </c>
      <c r="J434" s="36">
        <v>12688.7</v>
      </c>
      <c r="M434" s="39"/>
      <c r="R434" s="38"/>
    </row>
    <row r="435" spans="1:18" x14ac:dyDescent="0.2">
      <c r="A435" s="12">
        <v>45361</v>
      </c>
      <c r="B435" s="4">
        <f t="shared" si="12"/>
        <v>2024</v>
      </c>
      <c r="C435" s="4">
        <f t="shared" si="13"/>
        <v>3</v>
      </c>
      <c r="D435" s="5" t="s">
        <v>4</v>
      </c>
      <c r="E435" s="6" t="s">
        <v>12</v>
      </c>
      <c r="F435" s="6" t="s">
        <v>23</v>
      </c>
      <c r="G435" s="6" t="s">
        <v>31</v>
      </c>
      <c r="H435" s="6">
        <v>6</v>
      </c>
      <c r="I435" s="33">
        <v>53.83</v>
      </c>
      <c r="J435" s="36">
        <v>322.98</v>
      </c>
      <c r="M435" s="39"/>
      <c r="R435" s="38"/>
    </row>
    <row r="436" spans="1:18" x14ac:dyDescent="0.2">
      <c r="A436" s="12">
        <v>45362</v>
      </c>
      <c r="B436" s="4">
        <f t="shared" si="12"/>
        <v>2024</v>
      </c>
      <c r="C436" s="4">
        <f t="shared" si="13"/>
        <v>3</v>
      </c>
      <c r="D436" s="5" t="s">
        <v>4</v>
      </c>
      <c r="E436" s="6" t="s">
        <v>21</v>
      </c>
      <c r="F436" s="6" t="s">
        <v>35</v>
      </c>
      <c r="G436" s="6" t="s">
        <v>42</v>
      </c>
      <c r="H436" s="6">
        <v>6</v>
      </c>
      <c r="I436" s="33">
        <v>140.22999999999999</v>
      </c>
      <c r="J436" s="36">
        <v>841.38</v>
      </c>
      <c r="M436" s="39"/>
      <c r="R436" s="38"/>
    </row>
    <row r="437" spans="1:18" x14ac:dyDescent="0.2">
      <c r="A437" s="12">
        <v>45363</v>
      </c>
      <c r="B437" s="4">
        <f t="shared" si="12"/>
        <v>2024</v>
      </c>
      <c r="C437" s="4">
        <f t="shared" si="13"/>
        <v>3</v>
      </c>
      <c r="D437" s="5" t="s">
        <v>19</v>
      </c>
      <c r="E437" s="6" t="s">
        <v>1</v>
      </c>
      <c r="F437" s="6" t="s">
        <v>38</v>
      </c>
      <c r="G437" s="6" t="s">
        <v>25</v>
      </c>
      <c r="H437" s="6">
        <v>3</v>
      </c>
      <c r="I437" s="33">
        <v>167.82</v>
      </c>
      <c r="J437" s="36">
        <v>503.46</v>
      </c>
      <c r="M437" s="39"/>
      <c r="R437" s="38"/>
    </row>
    <row r="438" spans="1:18" x14ac:dyDescent="0.2">
      <c r="A438" s="12">
        <v>45364</v>
      </c>
      <c r="B438" s="4">
        <f t="shared" si="12"/>
        <v>2024</v>
      </c>
      <c r="C438" s="4">
        <f t="shared" si="13"/>
        <v>3</v>
      </c>
      <c r="D438" s="5" t="s">
        <v>0</v>
      </c>
      <c r="E438" s="6" t="s">
        <v>1</v>
      </c>
      <c r="F438" s="6" t="s">
        <v>33</v>
      </c>
      <c r="G438" s="6" t="s">
        <v>24</v>
      </c>
      <c r="H438" s="6">
        <v>9</v>
      </c>
      <c r="I438" s="33">
        <v>235.99</v>
      </c>
      <c r="J438" s="36">
        <v>2123.91</v>
      </c>
      <c r="M438" s="39"/>
      <c r="R438" s="38"/>
    </row>
    <row r="439" spans="1:18" x14ac:dyDescent="0.2">
      <c r="A439" s="12">
        <v>45365</v>
      </c>
      <c r="B439" s="4">
        <f t="shared" si="12"/>
        <v>2024</v>
      </c>
      <c r="C439" s="4">
        <f t="shared" si="13"/>
        <v>3</v>
      </c>
      <c r="D439" s="5" t="s">
        <v>11</v>
      </c>
      <c r="E439" s="6" t="s">
        <v>26</v>
      </c>
      <c r="F439" s="6" t="s">
        <v>38</v>
      </c>
      <c r="G439" s="6" t="s">
        <v>47</v>
      </c>
      <c r="H439" s="6">
        <v>2</v>
      </c>
      <c r="I439" s="33">
        <v>1189.3800000000001</v>
      </c>
      <c r="J439" s="36">
        <v>2378.7600000000002</v>
      </c>
      <c r="M439" s="39"/>
      <c r="R439" s="38"/>
    </row>
    <row r="440" spans="1:18" x14ac:dyDescent="0.2">
      <c r="A440" s="12">
        <v>45366</v>
      </c>
      <c r="B440" s="4">
        <f t="shared" si="12"/>
        <v>2024</v>
      </c>
      <c r="C440" s="4">
        <f t="shared" si="13"/>
        <v>3</v>
      </c>
      <c r="D440" s="5" t="s">
        <v>8</v>
      </c>
      <c r="E440" s="6" t="s">
        <v>1</v>
      </c>
      <c r="F440" s="6" t="s">
        <v>23</v>
      </c>
      <c r="G440" s="6" t="s">
        <v>24</v>
      </c>
      <c r="H440" s="6">
        <v>1</v>
      </c>
      <c r="I440" s="33">
        <v>875.79</v>
      </c>
      <c r="J440" s="36">
        <v>875.79</v>
      </c>
      <c r="M440" s="39"/>
      <c r="R440" s="38"/>
    </row>
    <row r="441" spans="1:18" x14ac:dyDescent="0.2">
      <c r="A441" s="12">
        <v>45367</v>
      </c>
      <c r="B441" s="4">
        <f t="shared" si="12"/>
        <v>2024</v>
      </c>
      <c r="C441" s="4">
        <f t="shared" si="13"/>
        <v>3</v>
      </c>
      <c r="D441" s="5" t="s">
        <v>0</v>
      </c>
      <c r="E441" s="6" t="s">
        <v>5</v>
      </c>
      <c r="F441" s="6" t="s">
        <v>23</v>
      </c>
      <c r="G441" s="6" t="s">
        <v>32</v>
      </c>
      <c r="H441" s="6">
        <v>8</v>
      </c>
      <c r="I441" s="33">
        <v>549.83000000000004</v>
      </c>
      <c r="J441" s="36">
        <v>4398.6400000000003</v>
      </c>
      <c r="M441" s="39"/>
      <c r="R441" s="38"/>
    </row>
    <row r="442" spans="1:18" x14ac:dyDescent="0.2">
      <c r="A442" s="12">
        <v>45368</v>
      </c>
      <c r="B442" s="4">
        <f t="shared" si="12"/>
        <v>2024</v>
      </c>
      <c r="C442" s="4">
        <f t="shared" si="13"/>
        <v>3</v>
      </c>
      <c r="D442" s="5" t="s">
        <v>4</v>
      </c>
      <c r="E442" s="6" t="s">
        <v>12</v>
      </c>
      <c r="F442" s="6" t="s">
        <v>13</v>
      </c>
      <c r="G442" s="6" t="s">
        <v>31</v>
      </c>
      <c r="H442" s="6">
        <v>10</v>
      </c>
      <c r="I442" s="33">
        <v>1343.53</v>
      </c>
      <c r="J442" s="36">
        <v>13435.3</v>
      </c>
      <c r="M442" s="39"/>
      <c r="R442" s="38"/>
    </row>
    <row r="443" spans="1:18" x14ac:dyDescent="0.2">
      <c r="A443" s="12">
        <v>45369</v>
      </c>
      <c r="B443" s="4">
        <f t="shared" si="12"/>
        <v>2024</v>
      </c>
      <c r="C443" s="4">
        <f t="shared" si="13"/>
        <v>3</v>
      </c>
      <c r="D443" s="5" t="s">
        <v>4</v>
      </c>
      <c r="E443" s="6" t="s">
        <v>5</v>
      </c>
      <c r="F443" s="6" t="s">
        <v>35</v>
      </c>
      <c r="G443" s="6" t="s">
        <v>7</v>
      </c>
      <c r="H443" s="6">
        <v>3</v>
      </c>
      <c r="I443" s="33">
        <v>447.92</v>
      </c>
      <c r="J443" s="36">
        <v>1343.76</v>
      </c>
      <c r="M443" s="39"/>
      <c r="R443" s="38"/>
    </row>
    <row r="444" spans="1:18" x14ac:dyDescent="0.2">
      <c r="A444" s="12">
        <v>45370</v>
      </c>
      <c r="B444" s="4">
        <f t="shared" si="12"/>
        <v>2024</v>
      </c>
      <c r="C444" s="4">
        <f t="shared" si="13"/>
        <v>3</v>
      </c>
      <c r="D444" s="5" t="s">
        <v>11</v>
      </c>
      <c r="E444" s="6" t="s">
        <v>5</v>
      </c>
      <c r="F444" s="6" t="s">
        <v>23</v>
      </c>
      <c r="G444" s="6" t="s">
        <v>29</v>
      </c>
      <c r="H444" s="6">
        <v>7</v>
      </c>
      <c r="I444" s="33">
        <v>362.05</v>
      </c>
      <c r="J444" s="36">
        <v>2534.35</v>
      </c>
      <c r="M444" s="39"/>
      <c r="R444" s="38"/>
    </row>
    <row r="445" spans="1:18" x14ac:dyDescent="0.2">
      <c r="A445" s="12">
        <v>45371</v>
      </c>
      <c r="B445" s="4">
        <f t="shared" si="12"/>
        <v>2024</v>
      </c>
      <c r="C445" s="4">
        <f t="shared" si="13"/>
        <v>3</v>
      </c>
      <c r="D445" s="5" t="s">
        <v>4</v>
      </c>
      <c r="E445" s="6" t="s">
        <v>26</v>
      </c>
      <c r="F445" s="6" t="s">
        <v>38</v>
      </c>
      <c r="G445" s="6" t="s">
        <v>30</v>
      </c>
      <c r="H445" s="6">
        <v>5</v>
      </c>
      <c r="I445" s="33">
        <v>699.92</v>
      </c>
      <c r="J445" s="36">
        <v>3499.6</v>
      </c>
      <c r="M445" s="39"/>
      <c r="R445" s="38"/>
    </row>
    <row r="446" spans="1:18" x14ac:dyDescent="0.2">
      <c r="A446" s="12">
        <v>45372</v>
      </c>
      <c r="B446" s="4">
        <f t="shared" si="12"/>
        <v>2024</v>
      </c>
      <c r="C446" s="4">
        <f t="shared" si="13"/>
        <v>3</v>
      </c>
      <c r="D446" s="5" t="s">
        <v>4</v>
      </c>
      <c r="E446" s="6" t="s">
        <v>9</v>
      </c>
      <c r="F446" s="6" t="s">
        <v>33</v>
      </c>
      <c r="G446" s="6" t="s">
        <v>40</v>
      </c>
      <c r="H446" s="6">
        <v>4</v>
      </c>
      <c r="I446" s="33">
        <v>1097.94</v>
      </c>
      <c r="J446" s="36">
        <v>4391.76</v>
      </c>
      <c r="M446" s="39"/>
      <c r="R446" s="38"/>
    </row>
    <row r="447" spans="1:18" x14ac:dyDescent="0.2">
      <c r="A447" s="12">
        <v>45373</v>
      </c>
      <c r="B447" s="4">
        <f t="shared" si="12"/>
        <v>2024</v>
      </c>
      <c r="C447" s="4">
        <f t="shared" si="13"/>
        <v>3</v>
      </c>
      <c r="D447" s="5" t="s">
        <v>11</v>
      </c>
      <c r="E447" s="6" t="s">
        <v>1</v>
      </c>
      <c r="F447" s="6" t="s">
        <v>16</v>
      </c>
      <c r="G447" s="6" t="s">
        <v>24</v>
      </c>
      <c r="H447" s="6">
        <v>5</v>
      </c>
      <c r="I447" s="33">
        <v>1459.65</v>
      </c>
      <c r="J447" s="36">
        <v>7298.25</v>
      </c>
      <c r="M447" s="39"/>
      <c r="R447" s="38"/>
    </row>
    <row r="448" spans="1:18" x14ac:dyDescent="0.2">
      <c r="A448" s="12">
        <v>45374</v>
      </c>
      <c r="B448" s="4">
        <f t="shared" si="12"/>
        <v>2024</v>
      </c>
      <c r="C448" s="4">
        <f t="shared" si="13"/>
        <v>3</v>
      </c>
      <c r="D448" s="5" t="s">
        <v>11</v>
      </c>
      <c r="E448" s="6" t="s">
        <v>5</v>
      </c>
      <c r="F448" s="6" t="s">
        <v>35</v>
      </c>
      <c r="G448" s="6" t="s">
        <v>7</v>
      </c>
      <c r="H448" s="6">
        <v>6</v>
      </c>
      <c r="I448" s="33">
        <v>30.59</v>
      </c>
      <c r="J448" s="36">
        <v>183.54</v>
      </c>
      <c r="M448" s="39"/>
      <c r="R448" s="38"/>
    </row>
    <row r="449" spans="1:18" x14ac:dyDescent="0.2">
      <c r="A449" s="12">
        <v>45375</v>
      </c>
      <c r="B449" s="4">
        <f t="shared" si="12"/>
        <v>2024</v>
      </c>
      <c r="C449" s="4">
        <f t="shared" si="13"/>
        <v>3</v>
      </c>
      <c r="D449" s="5" t="s">
        <v>11</v>
      </c>
      <c r="E449" s="6" t="s">
        <v>26</v>
      </c>
      <c r="F449" s="6" t="s">
        <v>33</v>
      </c>
      <c r="G449" s="6" t="s">
        <v>47</v>
      </c>
      <c r="H449" s="6">
        <v>9</v>
      </c>
      <c r="I449" s="33">
        <v>1215</v>
      </c>
      <c r="J449" s="36">
        <v>10935</v>
      </c>
      <c r="M449" s="39"/>
      <c r="R449" s="38"/>
    </row>
    <row r="450" spans="1:18" x14ac:dyDescent="0.2">
      <c r="A450" s="12">
        <v>45376</v>
      </c>
      <c r="B450" s="4">
        <f t="shared" si="12"/>
        <v>2024</v>
      </c>
      <c r="C450" s="4">
        <f t="shared" si="13"/>
        <v>3</v>
      </c>
      <c r="D450" s="5" t="s">
        <v>11</v>
      </c>
      <c r="E450" s="6" t="s">
        <v>1</v>
      </c>
      <c r="F450" s="6" t="s">
        <v>38</v>
      </c>
      <c r="G450" s="6" t="s">
        <v>3</v>
      </c>
      <c r="H450" s="6">
        <v>7</v>
      </c>
      <c r="I450" s="33">
        <v>1274.01</v>
      </c>
      <c r="J450" s="36">
        <v>8918.07</v>
      </c>
      <c r="M450" s="39"/>
      <c r="R450" s="38"/>
    </row>
    <row r="451" spans="1:18" x14ac:dyDescent="0.2">
      <c r="A451" s="12">
        <v>45377</v>
      </c>
      <c r="B451" s="4">
        <f t="shared" ref="B451:B501" si="14">YEAR(A451)</f>
        <v>2024</v>
      </c>
      <c r="C451" s="4">
        <f t="shared" ref="C451:C501" si="15">MONTH(A451)</f>
        <v>3</v>
      </c>
      <c r="D451" s="5" t="s">
        <v>4</v>
      </c>
      <c r="E451" s="6" t="s">
        <v>12</v>
      </c>
      <c r="F451" s="6" t="s">
        <v>35</v>
      </c>
      <c r="G451" s="6" t="s">
        <v>45</v>
      </c>
      <c r="H451" s="6">
        <v>3</v>
      </c>
      <c r="I451" s="33">
        <v>368.05</v>
      </c>
      <c r="J451" s="36">
        <v>1104.1500000000001</v>
      </c>
      <c r="M451" s="39"/>
      <c r="R451" s="38"/>
    </row>
    <row r="452" spans="1:18" x14ac:dyDescent="0.2">
      <c r="A452" s="12">
        <v>45378</v>
      </c>
      <c r="B452" s="4">
        <f t="shared" si="14"/>
        <v>2024</v>
      </c>
      <c r="C452" s="4">
        <f t="shared" si="15"/>
        <v>3</v>
      </c>
      <c r="D452" s="5" t="s">
        <v>4</v>
      </c>
      <c r="E452" s="6" t="s">
        <v>26</v>
      </c>
      <c r="F452" s="6" t="s">
        <v>35</v>
      </c>
      <c r="G452" s="6" t="s">
        <v>47</v>
      </c>
      <c r="H452" s="6">
        <v>10</v>
      </c>
      <c r="I452" s="33">
        <v>1292.4000000000001</v>
      </c>
      <c r="J452" s="36">
        <v>12924</v>
      </c>
      <c r="M452" s="39"/>
      <c r="R452" s="38"/>
    </row>
    <row r="453" spans="1:18" x14ac:dyDescent="0.2">
      <c r="A453" s="12">
        <v>45379</v>
      </c>
      <c r="B453" s="4">
        <f t="shared" si="14"/>
        <v>2024</v>
      </c>
      <c r="C453" s="4">
        <f t="shared" si="15"/>
        <v>3</v>
      </c>
      <c r="D453" s="5" t="s">
        <v>4</v>
      </c>
      <c r="E453" s="6" t="s">
        <v>12</v>
      </c>
      <c r="F453" s="6" t="s">
        <v>13</v>
      </c>
      <c r="G453" s="6" t="s">
        <v>31</v>
      </c>
      <c r="H453" s="6">
        <v>8</v>
      </c>
      <c r="I453" s="33">
        <v>1198.03</v>
      </c>
      <c r="J453" s="36">
        <v>9584.24</v>
      </c>
      <c r="M453" s="39"/>
      <c r="R453" s="38"/>
    </row>
    <row r="454" spans="1:18" x14ac:dyDescent="0.2">
      <c r="A454" s="12">
        <v>45380</v>
      </c>
      <c r="B454" s="4">
        <f t="shared" si="14"/>
        <v>2024</v>
      </c>
      <c r="C454" s="4">
        <f t="shared" si="15"/>
        <v>3</v>
      </c>
      <c r="D454" s="5" t="s">
        <v>8</v>
      </c>
      <c r="E454" s="6" t="s">
        <v>9</v>
      </c>
      <c r="F454" s="6" t="s">
        <v>6</v>
      </c>
      <c r="G454" s="6" t="s">
        <v>41</v>
      </c>
      <c r="H454" s="6">
        <v>7</v>
      </c>
      <c r="I454" s="33">
        <v>1418.05</v>
      </c>
      <c r="J454" s="36">
        <v>9926.35</v>
      </c>
      <c r="M454" s="39"/>
      <c r="R454" s="38"/>
    </row>
    <row r="455" spans="1:18" x14ac:dyDescent="0.2">
      <c r="A455" s="12">
        <v>45381</v>
      </c>
      <c r="B455" s="4">
        <f t="shared" si="14"/>
        <v>2024</v>
      </c>
      <c r="C455" s="4">
        <f t="shared" si="15"/>
        <v>3</v>
      </c>
      <c r="D455" s="5" t="s">
        <v>19</v>
      </c>
      <c r="E455" s="6" t="s">
        <v>26</v>
      </c>
      <c r="F455" s="6" t="s">
        <v>38</v>
      </c>
      <c r="G455" s="6" t="s">
        <v>36</v>
      </c>
      <c r="H455" s="6">
        <v>6</v>
      </c>
      <c r="I455" s="33">
        <v>1406.72</v>
      </c>
      <c r="J455" s="36">
        <v>8440.32</v>
      </c>
      <c r="M455" s="39"/>
      <c r="R455" s="38"/>
    </row>
    <row r="456" spans="1:18" x14ac:dyDescent="0.2">
      <c r="A456" s="12">
        <v>45382</v>
      </c>
      <c r="B456" s="4">
        <f t="shared" si="14"/>
        <v>2024</v>
      </c>
      <c r="C456" s="4">
        <f t="shared" si="15"/>
        <v>3</v>
      </c>
      <c r="D456" s="5" t="s">
        <v>8</v>
      </c>
      <c r="E456" s="6" t="s">
        <v>26</v>
      </c>
      <c r="F456" s="6" t="s">
        <v>35</v>
      </c>
      <c r="G456" s="6" t="s">
        <v>36</v>
      </c>
      <c r="H456" s="6">
        <v>7</v>
      </c>
      <c r="I456" s="33">
        <v>868.16</v>
      </c>
      <c r="J456" s="36">
        <v>6077.12</v>
      </c>
      <c r="M456" s="39"/>
      <c r="R456" s="38"/>
    </row>
    <row r="457" spans="1:18" x14ac:dyDescent="0.2">
      <c r="A457" s="12">
        <v>45383</v>
      </c>
      <c r="B457" s="4">
        <f t="shared" si="14"/>
        <v>2024</v>
      </c>
      <c r="C457" s="4">
        <f t="shared" si="15"/>
        <v>4</v>
      </c>
      <c r="D457" s="5" t="s">
        <v>19</v>
      </c>
      <c r="E457" s="6" t="s">
        <v>21</v>
      </c>
      <c r="F457" s="6" t="s">
        <v>6</v>
      </c>
      <c r="G457" s="6" t="s">
        <v>46</v>
      </c>
      <c r="H457" s="6">
        <v>6</v>
      </c>
      <c r="I457" s="33">
        <v>431.23</v>
      </c>
      <c r="J457" s="36">
        <v>2587.38</v>
      </c>
      <c r="M457" s="39"/>
      <c r="R457" s="38"/>
    </row>
    <row r="458" spans="1:18" x14ac:dyDescent="0.2">
      <c r="A458" s="12">
        <v>45384</v>
      </c>
      <c r="B458" s="4">
        <f t="shared" si="14"/>
        <v>2024</v>
      </c>
      <c r="C458" s="4">
        <f t="shared" si="15"/>
        <v>4</v>
      </c>
      <c r="D458" s="5" t="s">
        <v>8</v>
      </c>
      <c r="E458" s="6" t="s">
        <v>26</v>
      </c>
      <c r="F458" s="6" t="s">
        <v>33</v>
      </c>
      <c r="G458" s="6" t="s">
        <v>36</v>
      </c>
      <c r="H458" s="6">
        <v>8</v>
      </c>
      <c r="I458" s="33">
        <v>960.51</v>
      </c>
      <c r="J458" s="36">
        <v>7684.08</v>
      </c>
      <c r="M458" s="39"/>
      <c r="R458" s="38"/>
    </row>
    <row r="459" spans="1:18" x14ac:dyDescent="0.2">
      <c r="A459" s="12">
        <v>45385</v>
      </c>
      <c r="B459" s="4">
        <f t="shared" si="14"/>
        <v>2024</v>
      </c>
      <c r="C459" s="4">
        <f t="shared" si="15"/>
        <v>4</v>
      </c>
      <c r="D459" s="5" t="s">
        <v>11</v>
      </c>
      <c r="E459" s="6" t="s">
        <v>9</v>
      </c>
      <c r="F459" s="6" t="s">
        <v>6</v>
      </c>
      <c r="G459" s="6" t="s">
        <v>10</v>
      </c>
      <c r="H459" s="6">
        <v>3</v>
      </c>
      <c r="I459" s="33">
        <v>628.75</v>
      </c>
      <c r="J459" s="36">
        <v>1886.25</v>
      </c>
      <c r="M459" s="39"/>
      <c r="R459" s="38"/>
    </row>
    <row r="460" spans="1:18" x14ac:dyDescent="0.2">
      <c r="A460" s="12">
        <v>45386</v>
      </c>
      <c r="B460" s="4">
        <f t="shared" si="14"/>
        <v>2024</v>
      </c>
      <c r="C460" s="4">
        <f t="shared" si="15"/>
        <v>4</v>
      </c>
      <c r="D460" s="5" t="s">
        <v>11</v>
      </c>
      <c r="E460" s="6" t="s">
        <v>5</v>
      </c>
      <c r="F460" s="6" t="s">
        <v>23</v>
      </c>
      <c r="G460" s="6" t="s">
        <v>7</v>
      </c>
      <c r="H460" s="6">
        <v>8</v>
      </c>
      <c r="I460" s="33">
        <v>877.67</v>
      </c>
      <c r="J460" s="36">
        <v>7021.36</v>
      </c>
      <c r="M460" s="39"/>
      <c r="R460" s="38"/>
    </row>
    <row r="461" spans="1:18" x14ac:dyDescent="0.2">
      <c r="A461" s="12">
        <v>45387</v>
      </c>
      <c r="B461" s="4">
        <f t="shared" si="14"/>
        <v>2024</v>
      </c>
      <c r="C461" s="4">
        <f t="shared" si="15"/>
        <v>4</v>
      </c>
      <c r="D461" s="5" t="s">
        <v>0</v>
      </c>
      <c r="E461" s="6" t="s">
        <v>26</v>
      </c>
      <c r="F461" s="6" t="s">
        <v>13</v>
      </c>
      <c r="G461" s="6" t="s">
        <v>30</v>
      </c>
      <c r="H461" s="6">
        <v>8</v>
      </c>
      <c r="I461" s="33">
        <v>1150.47</v>
      </c>
      <c r="J461" s="36">
        <v>9203.76</v>
      </c>
      <c r="M461" s="39"/>
      <c r="R461" s="38"/>
    </row>
    <row r="462" spans="1:18" x14ac:dyDescent="0.2">
      <c r="A462" s="12">
        <v>45388</v>
      </c>
      <c r="B462" s="4">
        <f t="shared" si="14"/>
        <v>2024</v>
      </c>
      <c r="C462" s="4">
        <f t="shared" si="15"/>
        <v>4</v>
      </c>
      <c r="D462" s="5" t="s">
        <v>4</v>
      </c>
      <c r="E462" s="6" t="s">
        <v>1</v>
      </c>
      <c r="F462" s="6" t="s">
        <v>35</v>
      </c>
      <c r="G462" s="6" t="s">
        <v>24</v>
      </c>
      <c r="H462" s="6">
        <v>10</v>
      </c>
      <c r="I462" s="33">
        <v>89.08</v>
      </c>
      <c r="J462" s="36">
        <v>890.8</v>
      </c>
      <c r="M462" s="39"/>
      <c r="R462" s="38"/>
    </row>
    <row r="463" spans="1:18" x14ac:dyDescent="0.2">
      <c r="A463" s="12">
        <v>45389</v>
      </c>
      <c r="B463" s="4">
        <f t="shared" si="14"/>
        <v>2024</v>
      </c>
      <c r="C463" s="4">
        <f t="shared" si="15"/>
        <v>4</v>
      </c>
      <c r="D463" s="5" t="s">
        <v>4</v>
      </c>
      <c r="E463" s="6" t="s">
        <v>12</v>
      </c>
      <c r="F463" s="6" t="s">
        <v>38</v>
      </c>
      <c r="G463" s="6" t="s">
        <v>14</v>
      </c>
      <c r="H463" s="6">
        <v>5</v>
      </c>
      <c r="I463" s="33">
        <v>1133.77</v>
      </c>
      <c r="J463" s="36">
        <v>5668.85</v>
      </c>
      <c r="M463" s="39"/>
      <c r="R463" s="38"/>
    </row>
    <row r="464" spans="1:18" x14ac:dyDescent="0.2">
      <c r="A464" s="12">
        <v>45390</v>
      </c>
      <c r="B464" s="4">
        <f t="shared" si="14"/>
        <v>2024</v>
      </c>
      <c r="C464" s="4">
        <f t="shared" si="15"/>
        <v>4</v>
      </c>
      <c r="D464" s="5" t="s">
        <v>19</v>
      </c>
      <c r="E464" s="6" t="s">
        <v>1</v>
      </c>
      <c r="F464" s="6" t="s">
        <v>35</v>
      </c>
      <c r="G464" s="6" t="s">
        <v>48</v>
      </c>
      <c r="H464" s="6">
        <v>10</v>
      </c>
      <c r="I464" s="33">
        <v>1120.74</v>
      </c>
      <c r="J464" s="36">
        <v>11207.4</v>
      </c>
      <c r="M464" s="39"/>
      <c r="R464" s="38"/>
    </row>
    <row r="465" spans="1:18" x14ac:dyDescent="0.2">
      <c r="A465" s="12">
        <v>45391</v>
      </c>
      <c r="B465" s="4">
        <f t="shared" si="14"/>
        <v>2024</v>
      </c>
      <c r="C465" s="4">
        <f t="shared" si="15"/>
        <v>4</v>
      </c>
      <c r="D465" s="5" t="s">
        <v>19</v>
      </c>
      <c r="E465" s="6" t="s">
        <v>12</v>
      </c>
      <c r="F465" s="6" t="s">
        <v>38</v>
      </c>
      <c r="G465" s="6" t="s">
        <v>44</v>
      </c>
      <c r="H465" s="6">
        <v>8</v>
      </c>
      <c r="I465" s="33">
        <v>1048.0999999999999</v>
      </c>
      <c r="J465" s="36">
        <v>8384.7999999999993</v>
      </c>
      <c r="M465" s="39"/>
      <c r="R465" s="38"/>
    </row>
    <row r="466" spans="1:18" x14ac:dyDescent="0.2">
      <c r="A466" s="12">
        <v>45392</v>
      </c>
      <c r="B466" s="4">
        <f t="shared" si="14"/>
        <v>2024</v>
      </c>
      <c r="C466" s="4">
        <f t="shared" si="15"/>
        <v>4</v>
      </c>
      <c r="D466" s="5" t="s">
        <v>8</v>
      </c>
      <c r="E466" s="6" t="s">
        <v>1</v>
      </c>
      <c r="F466" s="6" t="s">
        <v>23</v>
      </c>
      <c r="G466" s="6" t="s">
        <v>48</v>
      </c>
      <c r="H466" s="6">
        <v>8</v>
      </c>
      <c r="I466" s="33">
        <v>1273.4000000000001</v>
      </c>
      <c r="J466" s="36">
        <v>10187.200000000001</v>
      </c>
      <c r="M466" s="39"/>
      <c r="R466" s="38"/>
    </row>
    <row r="467" spans="1:18" x14ac:dyDescent="0.2">
      <c r="A467" s="12">
        <v>45393</v>
      </c>
      <c r="B467" s="4">
        <f t="shared" si="14"/>
        <v>2024</v>
      </c>
      <c r="C467" s="4">
        <f t="shared" si="15"/>
        <v>4</v>
      </c>
      <c r="D467" s="5" t="s">
        <v>0</v>
      </c>
      <c r="E467" s="6" t="s">
        <v>9</v>
      </c>
      <c r="F467" s="6" t="s">
        <v>38</v>
      </c>
      <c r="G467" s="6" t="s">
        <v>40</v>
      </c>
      <c r="H467" s="6">
        <v>2</v>
      </c>
      <c r="I467" s="33">
        <v>1289.1099999999999</v>
      </c>
      <c r="J467" s="36">
        <v>2578.2199999999998</v>
      </c>
      <c r="M467" s="39"/>
      <c r="R467" s="38"/>
    </row>
    <row r="468" spans="1:18" x14ac:dyDescent="0.2">
      <c r="A468" s="12">
        <v>45394</v>
      </c>
      <c r="B468" s="4">
        <f t="shared" si="14"/>
        <v>2024</v>
      </c>
      <c r="C468" s="4">
        <f t="shared" si="15"/>
        <v>4</v>
      </c>
      <c r="D468" s="5" t="s">
        <v>19</v>
      </c>
      <c r="E468" s="6" t="s">
        <v>5</v>
      </c>
      <c r="F468" s="6" t="s">
        <v>33</v>
      </c>
      <c r="G468" s="6" t="s">
        <v>32</v>
      </c>
      <c r="H468" s="6">
        <v>6</v>
      </c>
      <c r="I468" s="33">
        <v>55.81</v>
      </c>
      <c r="J468" s="36">
        <v>334.86</v>
      </c>
      <c r="M468" s="39"/>
      <c r="R468" s="38"/>
    </row>
    <row r="469" spans="1:18" x14ac:dyDescent="0.2">
      <c r="A469" s="12">
        <v>45395</v>
      </c>
      <c r="B469" s="4">
        <f t="shared" si="14"/>
        <v>2024</v>
      </c>
      <c r="C469" s="4">
        <f t="shared" si="15"/>
        <v>4</v>
      </c>
      <c r="D469" s="5" t="s">
        <v>4</v>
      </c>
      <c r="E469" s="6" t="s">
        <v>21</v>
      </c>
      <c r="F469" s="6" t="s">
        <v>6</v>
      </c>
      <c r="G469" s="6" t="s">
        <v>42</v>
      </c>
      <c r="H469" s="6">
        <v>3</v>
      </c>
      <c r="I469" s="33">
        <v>616.96</v>
      </c>
      <c r="J469" s="36">
        <v>1850.88</v>
      </c>
      <c r="M469" s="39"/>
      <c r="R469" s="38"/>
    </row>
    <row r="470" spans="1:18" x14ac:dyDescent="0.2">
      <c r="A470" s="12">
        <v>45396</v>
      </c>
      <c r="B470" s="4">
        <f t="shared" si="14"/>
        <v>2024</v>
      </c>
      <c r="C470" s="4">
        <f t="shared" si="15"/>
        <v>4</v>
      </c>
      <c r="D470" s="5" t="s">
        <v>8</v>
      </c>
      <c r="E470" s="6" t="s">
        <v>5</v>
      </c>
      <c r="F470" s="6" t="s">
        <v>33</v>
      </c>
      <c r="G470" s="6" t="s">
        <v>32</v>
      </c>
      <c r="H470" s="6">
        <v>5</v>
      </c>
      <c r="I470" s="33">
        <v>750.33</v>
      </c>
      <c r="J470" s="36">
        <v>3751.65</v>
      </c>
      <c r="M470" s="39"/>
      <c r="R470" s="38"/>
    </row>
    <row r="471" spans="1:18" x14ac:dyDescent="0.2">
      <c r="A471" s="12">
        <v>45397</v>
      </c>
      <c r="B471" s="4">
        <f t="shared" si="14"/>
        <v>2024</v>
      </c>
      <c r="C471" s="4">
        <f t="shared" si="15"/>
        <v>4</v>
      </c>
      <c r="D471" s="5" t="s">
        <v>8</v>
      </c>
      <c r="E471" s="6" t="s">
        <v>12</v>
      </c>
      <c r="F471" s="6" t="s">
        <v>35</v>
      </c>
      <c r="G471" s="6" t="s">
        <v>20</v>
      </c>
      <c r="H471" s="6">
        <v>6</v>
      </c>
      <c r="I471" s="33">
        <v>1069.9100000000001</v>
      </c>
      <c r="J471" s="36">
        <v>6419.46</v>
      </c>
      <c r="M471" s="39"/>
      <c r="R471" s="38"/>
    </row>
    <row r="472" spans="1:18" x14ac:dyDescent="0.2">
      <c r="A472" s="12">
        <v>45398</v>
      </c>
      <c r="B472" s="4">
        <f t="shared" si="14"/>
        <v>2024</v>
      </c>
      <c r="C472" s="4">
        <f t="shared" si="15"/>
        <v>4</v>
      </c>
      <c r="D472" s="5" t="s">
        <v>19</v>
      </c>
      <c r="E472" s="6" t="s">
        <v>9</v>
      </c>
      <c r="F472" s="6" t="s">
        <v>2</v>
      </c>
      <c r="G472" s="6" t="s">
        <v>18</v>
      </c>
      <c r="H472" s="6">
        <v>9</v>
      </c>
      <c r="I472" s="33">
        <v>1150.4000000000001</v>
      </c>
      <c r="J472" s="36">
        <v>10353.6</v>
      </c>
      <c r="M472" s="39"/>
      <c r="R472" s="38"/>
    </row>
    <row r="473" spans="1:18" x14ac:dyDescent="0.2">
      <c r="A473" s="12">
        <v>45399</v>
      </c>
      <c r="B473" s="4">
        <f t="shared" si="14"/>
        <v>2024</v>
      </c>
      <c r="C473" s="4">
        <f t="shared" si="15"/>
        <v>4</v>
      </c>
      <c r="D473" s="5" t="s">
        <v>0</v>
      </c>
      <c r="E473" s="6" t="s">
        <v>12</v>
      </c>
      <c r="F473" s="6" t="s">
        <v>33</v>
      </c>
      <c r="G473" s="6" t="s">
        <v>44</v>
      </c>
      <c r="H473" s="6">
        <v>4</v>
      </c>
      <c r="I473" s="33">
        <v>444.04</v>
      </c>
      <c r="J473" s="36">
        <v>1776.16</v>
      </c>
      <c r="M473" s="39"/>
      <c r="R473" s="38"/>
    </row>
    <row r="474" spans="1:18" x14ac:dyDescent="0.2">
      <c r="A474" s="12">
        <v>45400</v>
      </c>
      <c r="B474" s="4">
        <f t="shared" si="14"/>
        <v>2024</v>
      </c>
      <c r="C474" s="4">
        <f t="shared" si="15"/>
        <v>4</v>
      </c>
      <c r="D474" s="5" t="s">
        <v>8</v>
      </c>
      <c r="E474" s="6" t="s">
        <v>9</v>
      </c>
      <c r="F474" s="6" t="s">
        <v>16</v>
      </c>
      <c r="G474" s="6" t="s">
        <v>40</v>
      </c>
      <c r="H474" s="6">
        <v>9</v>
      </c>
      <c r="I474" s="33">
        <v>417.95</v>
      </c>
      <c r="J474" s="36">
        <v>3761.55</v>
      </c>
      <c r="M474" s="39"/>
      <c r="R474" s="38"/>
    </row>
    <row r="475" spans="1:18" x14ac:dyDescent="0.2">
      <c r="A475" s="12">
        <v>45401</v>
      </c>
      <c r="B475" s="4">
        <f t="shared" si="14"/>
        <v>2024</v>
      </c>
      <c r="C475" s="4">
        <f t="shared" si="15"/>
        <v>4</v>
      </c>
      <c r="D475" s="5" t="s">
        <v>4</v>
      </c>
      <c r="E475" s="6" t="s">
        <v>12</v>
      </c>
      <c r="F475" s="6" t="s">
        <v>16</v>
      </c>
      <c r="G475" s="6" t="s">
        <v>14</v>
      </c>
      <c r="H475" s="6">
        <v>8</v>
      </c>
      <c r="I475" s="33">
        <v>547.96</v>
      </c>
      <c r="J475" s="36">
        <v>4383.68</v>
      </c>
      <c r="M475" s="39"/>
      <c r="R475" s="38"/>
    </row>
    <row r="476" spans="1:18" x14ac:dyDescent="0.2">
      <c r="A476" s="12">
        <v>45402</v>
      </c>
      <c r="B476" s="4">
        <f t="shared" si="14"/>
        <v>2024</v>
      </c>
      <c r="C476" s="4">
        <f t="shared" si="15"/>
        <v>4</v>
      </c>
      <c r="D476" s="5" t="s">
        <v>4</v>
      </c>
      <c r="E476" s="6" t="s">
        <v>9</v>
      </c>
      <c r="F476" s="6" t="s">
        <v>2</v>
      </c>
      <c r="G476" s="6" t="s">
        <v>10</v>
      </c>
      <c r="H476" s="6">
        <v>6</v>
      </c>
      <c r="I476" s="33">
        <v>729.6</v>
      </c>
      <c r="J476" s="36">
        <v>4377.6000000000004</v>
      </c>
      <c r="M476" s="39"/>
      <c r="R476" s="38"/>
    </row>
    <row r="477" spans="1:18" x14ac:dyDescent="0.2">
      <c r="A477" s="12">
        <v>45403</v>
      </c>
      <c r="B477" s="4">
        <f t="shared" si="14"/>
        <v>2024</v>
      </c>
      <c r="C477" s="4">
        <f t="shared" si="15"/>
        <v>4</v>
      </c>
      <c r="D477" s="5" t="s">
        <v>19</v>
      </c>
      <c r="E477" s="6" t="s">
        <v>9</v>
      </c>
      <c r="F477" s="6" t="s">
        <v>33</v>
      </c>
      <c r="G477" s="6" t="s">
        <v>18</v>
      </c>
      <c r="H477" s="6">
        <v>4</v>
      </c>
      <c r="I477" s="33">
        <v>221.62</v>
      </c>
      <c r="J477" s="36">
        <v>886.48</v>
      </c>
      <c r="M477" s="39"/>
      <c r="R477" s="38"/>
    </row>
    <row r="478" spans="1:18" x14ac:dyDescent="0.2">
      <c r="A478" s="12">
        <v>45404</v>
      </c>
      <c r="B478" s="4">
        <f t="shared" si="14"/>
        <v>2024</v>
      </c>
      <c r="C478" s="4">
        <f t="shared" si="15"/>
        <v>4</v>
      </c>
      <c r="D478" s="5" t="s">
        <v>8</v>
      </c>
      <c r="E478" s="6" t="s">
        <v>26</v>
      </c>
      <c r="F478" s="6" t="s">
        <v>16</v>
      </c>
      <c r="G478" s="6" t="s">
        <v>36</v>
      </c>
      <c r="H478" s="6">
        <v>3</v>
      </c>
      <c r="I478" s="33">
        <v>1322.34</v>
      </c>
      <c r="J478" s="36">
        <v>3967.02</v>
      </c>
      <c r="M478" s="39"/>
      <c r="R478" s="38"/>
    </row>
    <row r="479" spans="1:18" x14ac:dyDescent="0.2">
      <c r="A479" s="12">
        <v>45405</v>
      </c>
      <c r="B479" s="4">
        <f t="shared" si="14"/>
        <v>2024</v>
      </c>
      <c r="C479" s="4">
        <f t="shared" si="15"/>
        <v>4</v>
      </c>
      <c r="D479" s="5" t="s">
        <v>0</v>
      </c>
      <c r="E479" s="6" t="s">
        <v>9</v>
      </c>
      <c r="F479" s="6" t="s">
        <v>13</v>
      </c>
      <c r="G479" s="6" t="s">
        <v>17</v>
      </c>
      <c r="H479" s="6">
        <v>3</v>
      </c>
      <c r="I479" s="33">
        <v>341.68</v>
      </c>
      <c r="J479" s="36">
        <v>1025.04</v>
      </c>
      <c r="M479" s="39"/>
      <c r="R479" s="38"/>
    </row>
    <row r="480" spans="1:18" x14ac:dyDescent="0.2">
      <c r="A480" s="12">
        <v>45406</v>
      </c>
      <c r="B480" s="4">
        <f t="shared" si="14"/>
        <v>2024</v>
      </c>
      <c r="C480" s="4">
        <f t="shared" si="15"/>
        <v>4</v>
      </c>
      <c r="D480" s="5" t="s">
        <v>11</v>
      </c>
      <c r="E480" s="6" t="s">
        <v>9</v>
      </c>
      <c r="F480" s="6" t="s">
        <v>6</v>
      </c>
      <c r="G480" s="6" t="s">
        <v>17</v>
      </c>
      <c r="H480" s="6">
        <v>6</v>
      </c>
      <c r="I480" s="33">
        <v>55.71</v>
      </c>
      <c r="J480" s="36">
        <v>334.26</v>
      </c>
      <c r="M480" s="39"/>
      <c r="R480" s="38"/>
    </row>
    <row r="481" spans="1:18" x14ac:dyDescent="0.2">
      <c r="A481" s="12">
        <v>45407</v>
      </c>
      <c r="B481" s="4">
        <f t="shared" si="14"/>
        <v>2024</v>
      </c>
      <c r="C481" s="4">
        <f t="shared" si="15"/>
        <v>4</v>
      </c>
      <c r="D481" s="5" t="s">
        <v>11</v>
      </c>
      <c r="E481" s="6" t="s">
        <v>12</v>
      </c>
      <c r="F481" s="6" t="s">
        <v>6</v>
      </c>
      <c r="G481" s="6" t="s">
        <v>14</v>
      </c>
      <c r="H481" s="6">
        <v>7</v>
      </c>
      <c r="I481" s="33">
        <v>765.96</v>
      </c>
      <c r="J481" s="36">
        <v>5361.72</v>
      </c>
      <c r="M481" s="39"/>
      <c r="R481" s="38"/>
    </row>
    <row r="482" spans="1:18" x14ac:dyDescent="0.2">
      <c r="A482" s="12">
        <v>45408</v>
      </c>
      <c r="B482" s="4">
        <f t="shared" si="14"/>
        <v>2024</v>
      </c>
      <c r="C482" s="4">
        <f t="shared" si="15"/>
        <v>4</v>
      </c>
      <c r="D482" s="5" t="s">
        <v>19</v>
      </c>
      <c r="E482" s="6" t="s">
        <v>5</v>
      </c>
      <c r="F482" s="6" t="s">
        <v>23</v>
      </c>
      <c r="G482" s="6" t="s">
        <v>43</v>
      </c>
      <c r="H482" s="6">
        <v>6</v>
      </c>
      <c r="I482" s="33">
        <v>318.91000000000003</v>
      </c>
      <c r="J482" s="36">
        <v>1913.46</v>
      </c>
      <c r="M482" s="39"/>
      <c r="R482" s="38"/>
    </row>
    <row r="483" spans="1:18" x14ac:dyDescent="0.2">
      <c r="A483" s="12">
        <v>45409</v>
      </c>
      <c r="B483" s="4">
        <f t="shared" si="14"/>
        <v>2024</v>
      </c>
      <c r="C483" s="4">
        <f t="shared" si="15"/>
        <v>4</v>
      </c>
      <c r="D483" s="5" t="s">
        <v>0</v>
      </c>
      <c r="E483" s="6" t="s">
        <v>5</v>
      </c>
      <c r="F483" s="6" t="s">
        <v>6</v>
      </c>
      <c r="G483" s="6" t="s">
        <v>29</v>
      </c>
      <c r="H483" s="6">
        <v>7</v>
      </c>
      <c r="I483" s="33">
        <v>508.8</v>
      </c>
      <c r="J483" s="36">
        <v>3561.6</v>
      </c>
      <c r="M483" s="39"/>
      <c r="R483" s="38"/>
    </row>
    <row r="484" spans="1:18" x14ac:dyDescent="0.2">
      <c r="A484" s="12">
        <v>45410</v>
      </c>
      <c r="B484" s="4">
        <f t="shared" si="14"/>
        <v>2024</v>
      </c>
      <c r="C484" s="4">
        <f t="shared" si="15"/>
        <v>4</v>
      </c>
      <c r="D484" s="5" t="s">
        <v>11</v>
      </c>
      <c r="E484" s="6" t="s">
        <v>5</v>
      </c>
      <c r="F484" s="6" t="s">
        <v>23</v>
      </c>
      <c r="G484" s="6" t="s">
        <v>29</v>
      </c>
      <c r="H484" s="6">
        <v>10</v>
      </c>
      <c r="I484" s="33">
        <v>245.84</v>
      </c>
      <c r="J484" s="36">
        <v>2458.4</v>
      </c>
      <c r="M484" s="39"/>
      <c r="R484" s="38"/>
    </row>
    <row r="485" spans="1:18" x14ac:dyDescent="0.2">
      <c r="A485" s="12">
        <v>45411</v>
      </c>
      <c r="B485" s="4">
        <f t="shared" si="14"/>
        <v>2024</v>
      </c>
      <c r="C485" s="4">
        <f t="shared" si="15"/>
        <v>4</v>
      </c>
      <c r="D485" s="5" t="s">
        <v>4</v>
      </c>
      <c r="E485" s="6" t="s">
        <v>5</v>
      </c>
      <c r="F485" s="6" t="s">
        <v>38</v>
      </c>
      <c r="G485" s="6" t="s">
        <v>32</v>
      </c>
      <c r="H485" s="6">
        <v>2</v>
      </c>
      <c r="I485" s="33">
        <v>361.57</v>
      </c>
      <c r="J485" s="36">
        <v>723.14</v>
      </c>
      <c r="M485" s="39"/>
      <c r="R485" s="38"/>
    </row>
    <row r="486" spans="1:18" x14ac:dyDescent="0.2">
      <c r="A486" s="12">
        <v>45412</v>
      </c>
      <c r="B486" s="4">
        <f t="shared" si="14"/>
        <v>2024</v>
      </c>
      <c r="C486" s="4">
        <f t="shared" si="15"/>
        <v>4</v>
      </c>
      <c r="D486" s="5" t="s">
        <v>0</v>
      </c>
      <c r="E486" s="6" t="s">
        <v>5</v>
      </c>
      <c r="F486" s="6" t="s">
        <v>2</v>
      </c>
      <c r="G486" s="6" t="s">
        <v>43</v>
      </c>
      <c r="H486" s="6">
        <v>1</v>
      </c>
      <c r="I486" s="33">
        <v>1251.02</v>
      </c>
      <c r="J486" s="36">
        <v>1251.02</v>
      </c>
      <c r="M486" s="39"/>
      <c r="R486" s="38"/>
    </row>
    <row r="487" spans="1:18" x14ac:dyDescent="0.2">
      <c r="A487" s="12">
        <v>45413</v>
      </c>
      <c r="B487" s="4">
        <f t="shared" si="14"/>
        <v>2024</v>
      </c>
      <c r="C487" s="4">
        <f t="shared" si="15"/>
        <v>5</v>
      </c>
      <c r="D487" s="5" t="s">
        <v>4</v>
      </c>
      <c r="E487" s="6" t="s">
        <v>21</v>
      </c>
      <c r="F487" s="6" t="s">
        <v>16</v>
      </c>
      <c r="G487" s="6" t="s">
        <v>37</v>
      </c>
      <c r="H487" s="6">
        <v>10</v>
      </c>
      <c r="I487" s="33">
        <v>695.11</v>
      </c>
      <c r="J487" s="36">
        <v>6951.1</v>
      </c>
      <c r="M487" s="39"/>
      <c r="R487" s="38"/>
    </row>
    <row r="488" spans="1:18" x14ac:dyDescent="0.2">
      <c r="A488" s="12">
        <v>45414</v>
      </c>
      <c r="B488" s="4">
        <f t="shared" si="14"/>
        <v>2024</v>
      </c>
      <c r="C488" s="4">
        <f t="shared" si="15"/>
        <v>5</v>
      </c>
      <c r="D488" s="5" t="s">
        <v>8</v>
      </c>
      <c r="E488" s="6" t="s">
        <v>21</v>
      </c>
      <c r="F488" s="6" t="s">
        <v>33</v>
      </c>
      <c r="G488" s="6" t="s">
        <v>37</v>
      </c>
      <c r="H488" s="6">
        <v>5</v>
      </c>
      <c r="I488" s="33">
        <v>808.19</v>
      </c>
      <c r="J488" s="36">
        <v>4040.95</v>
      </c>
      <c r="M488" s="39"/>
      <c r="R488" s="38"/>
    </row>
    <row r="489" spans="1:18" x14ac:dyDescent="0.2">
      <c r="A489" s="12">
        <v>45415</v>
      </c>
      <c r="B489" s="4">
        <f t="shared" si="14"/>
        <v>2024</v>
      </c>
      <c r="C489" s="4">
        <f t="shared" si="15"/>
        <v>5</v>
      </c>
      <c r="D489" s="5" t="s">
        <v>0</v>
      </c>
      <c r="E489" s="6" t="s">
        <v>21</v>
      </c>
      <c r="F489" s="6" t="s">
        <v>23</v>
      </c>
      <c r="G489" s="6" t="s">
        <v>37</v>
      </c>
      <c r="H489" s="6">
        <v>8</v>
      </c>
      <c r="I489" s="33">
        <v>711.72</v>
      </c>
      <c r="J489" s="36">
        <v>5693.76</v>
      </c>
      <c r="M489" s="39"/>
      <c r="R489" s="38"/>
    </row>
    <row r="490" spans="1:18" x14ac:dyDescent="0.2">
      <c r="A490" s="12">
        <v>45416</v>
      </c>
      <c r="B490" s="4">
        <f t="shared" si="14"/>
        <v>2024</v>
      </c>
      <c r="C490" s="4">
        <f t="shared" si="15"/>
        <v>5</v>
      </c>
      <c r="D490" s="5" t="s">
        <v>11</v>
      </c>
      <c r="E490" s="6" t="s">
        <v>12</v>
      </c>
      <c r="F490" s="6" t="s">
        <v>2</v>
      </c>
      <c r="G490" s="6" t="s">
        <v>44</v>
      </c>
      <c r="H490" s="6">
        <v>4</v>
      </c>
      <c r="I490" s="33">
        <v>347.56</v>
      </c>
      <c r="J490" s="36">
        <v>1390.24</v>
      </c>
      <c r="M490" s="39"/>
      <c r="R490" s="38"/>
    </row>
    <row r="491" spans="1:18" x14ac:dyDescent="0.2">
      <c r="A491" s="12">
        <v>45417</v>
      </c>
      <c r="B491" s="4">
        <f t="shared" si="14"/>
        <v>2024</v>
      </c>
      <c r="C491" s="4">
        <f t="shared" si="15"/>
        <v>5</v>
      </c>
      <c r="D491" s="5" t="s">
        <v>8</v>
      </c>
      <c r="E491" s="6" t="s">
        <v>26</v>
      </c>
      <c r="F491" s="6" t="s">
        <v>33</v>
      </c>
      <c r="G491" s="6" t="s">
        <v>27</v>
      </c>
      <c r="H491" s="6">
        <v>8</v>
      </c>
      <c r="I491" s="33">
        <v>1441.32</v>
      </c>
      <c r="J491" s="36">
        <v>11530.56</v>
      </c>
      <c r="M491" s="39"/>
      <c r="R491" s="38"/>
    </row>
    <row r="492" spans="1:18" x14ac:dyDescent="0.2">
      <c r="A492" s="12">
        <v>45418</v>
      </c>
      <c r="B492" s="4">
        <f t="shared" si="14"/>
        <v>2024</v>
      </c>
      <c r="C492" s="4">
        <f t="shared" si="15"/>
        <v>5</v>
      </c>
      <c r="D492" s="5" t="s">
        <v>8</v>
      </c>
      <c r="E492" s="6" t="s">
        <v>9</v>
      </c>
      <c r="F492" s="6" t="s">
        <v>35</v>
      </c>
      <c r="G492" s="6" t="s">
        <v>41</v>
      </c>
      <c r="H492" s="6">
        <v>2</v>
      </c>
      <c r="I492" s="33">
        <v>1411.35</v>
      </c>
      <c r="J492" s="36">
        <v>2822.7</v>
      </c>
      <c r="M492" s="39"/>
      <c r="R492" s="38"/>
    </row>
    <row r="493" spans="1:18" x14ac:dyDescent="0.2">
      <c r="A493" s="12">
        <v>45419</v>
      </c>
      <c r="B493" s="4">
        <f t="shared" si="14"/>
        <v>2024</v>
      </c>
      <c r="C493" s="4">
        <f t="shared" si="15"/>
        <v>5</v>
      </c>
      <c r="D493" s="5" t="s">
        <v>11</v>
      </c>
      <c r="E493" s="6" t="s">
        <v>9</v>
      </c>
      <c r="F493" s="6" t="s">
        <v>2</v>
      </c>
      <c r="G493" s="6" t="s">
        <v>17</v>
      </c>
      <c r="H493" s="6">
        <v>6</v>
      </c>
      <c r="I493" s="33">
        <v>1021.01</v>
      </c>
      <c r="J493" s="36">
        <v>6126.06</v>
      </c>
      <c r="M493" s="39"/>
      <c r="R493" s="38"/>
    </row>
    <row r="494" spans="1:18" x14ac:dyDescent="0.2">
      <c r="A494" s="12">
        <v>45420</v>
      </c>
      <c r="B494" s="4">
        <f t="shared" si="14"/>
        <v>2024</v>
      </c>
      <c r="C494" s="4">
        <f t="shared" si="15"/>
        <v>5</v>
      </c>
      <c r="D494" s="5" t="s">
        <v>0</v>
      </c>
      <c r="E494" s="6" t="s">
        <v>12</v>
      </c>
      <c r="F494" s="6" t="s">
        <v>13</v>
      </c>
      <c r="G494" s="6" t="s">
        <v>14</v>
      </c>
      <c r="H494" s="6">
        <v>7</v>
      </c>
      <c r="I494" s="33">
        <v>136.88999999999999</v>
      </c>
      <c r="J494" s="36">
        <v>958.23</v>
      </c>
      <c r="M494" s="39"/>
      <c r="R494" s="38"/>
    </row>
    <row r="495" spans="1:18" x14ac:dyDescent="0.2">
      <c r="A495" s="12">
        <v>45421</v>
      </c>
      <c r="B495" s="4">
        <f t="shared" si="14"/>
        <v>2024</v>
      </c>
      <c r="C495" s="4">
        <f t="shared" si="15"/>
        <v>5</v>
      </c>
      <c r="D495" s="5" t="s">
        <v>11</v>
      </c>
      <c r="E495" s="6" t="s">
        <v>1</v>
      </c>
      <c r="F495" s="6" t="s">
        <v>6</v>
      </c>
      <c r="G495" s="6" t="s">
        <v>3</v>
      </c>
      <c r="H495" s="6">
        <v>10</v>
      </c>
      <c r="I495" s="33">
        <v>1044.81</v>
      </c>
      <c r="J495" s="36">
        <v>10448.1</v>
      </c>
      <c r="M495" s="39"/>
      <c r="R495" s="38"/>
    </row>
    <row r="496" spans="1:18" x14ac:dyDescent="0.2">
      <c r="A496" s="12">
        <v>45422</v>
      </c>
      <c r="B496" s="4">
        <f t="shared" si="14"/>
        <v>2024</v>
      </c>
      <c r="C496" s="4">
        <f t="shared" si="15"/>
        <v>5</v>
      </c>
      <c r="D496" s="5" t="s">
        <v>4</v>
      </c>
      <c r="E496" s="6" t="s">
        <v>9</v>
      </c>
      <c r="F496" s="6" t="s">
        <v>2</v>
      </c>
      <c r="G496" s="6" t="s">
        <v>40</v>
      </c>
      <c r="H496" s="6">
        <v>8</v>
      </c>
      <c r="I496" s="33">
        <v>82.38</v>
      </c>
      <c r="J496" s="36">
        <v>659.04</v>
      </c>
      <c r="M496" s="39"/>
      <c r="R496" s="38"/>
    </row>
    <row r="497" spans="1:18" x14ac:dyDescent="0.2">
      <c r="A497" s="12">
        <v>45423</v>
      </c>
      <c r="B497" s="4">
        <f t="shared" si="14"/>
        <v>2024</v>
      </c>
      <c r="C497" s="4">
        <f t="shared" si="15"/>
        <v>5</v>
      </c>
      <c r="D497" s="5" t="s">
        <v>0</v>
      </c>
      <c r="E497" s="6" t="s">
        <v>12</v>
      </c>
      <c r="F497" s="6" t="s">
        <v>2</v>
      </c>
      <c r="G497" s="6" t="s">
        <v>20</v>
      </c>
      <c r="H497" s="6">
        <v>9</v>
      </c>
      <c r="I497" s="33">
        <v>1154.3499999999999</v>
      </c>
      <c r="J497" s="36">
        <v>10389.15</v>
      </c>
      <c r="M497" s="39"/>
      <c r="R497" s="38"/>
    </row>
    <row r="498" spans="1:18" x14ac:dyDescent="0.2">
      <c r="A498" s="12">
        <v>45424</v>
      </c>
      <c r="B498" s="4">
        <f t="shared" si="14"/>
        <v>2024</v>
      </c>
      <c r="C498" s="4">
        <f t="shared" si="15"/>
        <v>5</v>
      </c>
      <c r="D498" s="5" t="s">
        <v>4</v>
      </c>
      <c r="E498" s="6" t="s">
        <v>1</v>
      </c>
      <c r="F498" s="6" t="s">
        <v>16</v>
      </c>
      <c r="G498" s="6" t="s">
        <v>25</v>
      </c>
      <c r="H498" s="6">
        <v>10</v>
      </c>
      <c r="I498" s="33">
        <v>482.63</v>
      </c>
      <c r="J498" s="36">
        <v>4826.3</v>
      </c>
      <c r="M498" s="39"/>
      <c r="R498" s="38"/>
    </row>
    <row r="499" spans="1:18" x14ac:dyDescent="0.2">
      <c r="A499" s="12">
        <v>45425</v>
      </c>
      <c r="B499" s="4">
        <f t="shared" si="14"/>
        <v>2024</v>
      </c>
      <c r="C499" s="4">
        <f t="shared" si="15"/>
        <v>5</v>
      </c>
      <c r="D499" s="5" t="s">
        <v>8</v>
      </c>
      <c r="E499" s="6" t="s">
        <v>9</v>
      </c>
      <c r="F499" s="6" t="s">
        <v>6</v>
      </c>
      <c r="G499" s="6" t="s">
        <v>41</v>
      </c>
      <c r="H499" s="6">
        <v>4</v>
      </c>
      <c r="I499" s="33">
        <v>541.64</v>
      </c>
      <c r="J499" s="36">
        <v>2166.56</v>
      </c>
      <c r="M499" s="39"/>
      <c r="R499" s="38"/>
    </row>
    <row r="500" spans="1:18" x14ac:dyDescent="0.2">
      <c r="A500" s="12">
        <v>45426</v>
      </c>
      <c r="B500" s="4">
        <f t="shared" si="14"/>
        <v>2024</v>
      </c>
      <c r="C500" s="4">
        <f t="shared" si="15"/>
        <v>5</v>
      </c>
      <c r="D500" s="5" t="s">
        <v>11</v>
      </c>
      <c r="E500" s="6" t="s">
        <v>1</v>
      </c>
      <c r="F500" s="6" t="s">
        <v>33</v>
      </c>
      <c r="G500" s="6" t="s">
        <v>24</v>
      </c>
      <c r="H500" s="6">
        <v>3</v>
      </c>
      <c r="I500" s="33">
        <v>1388.01</v>
      </c>
      <c r="J500" s="36">
        <v>4164.03</v>
      </c>
      <c r="M500" s="39"/>
      <c r="R500" s="38"/>
    </row>
    <row r="501" spans="1:18" x14ac:dyDescent="0.2">
      <c r="A501" s="15">
        <v>45427</v>
      </c>
      <c r="B501" s="16">
        <f t="shared" si="14"/>
        <v>2024</v>
      </c>
      <c r="C501" s="16">
        <f t="shared" si="15"/>
        <v>5</v>
      </c>
      <c r="D501" s="17" t="s">
        <v>11</v>
      </c>
      <c r="E501" s="18" t="s">
        <v>9</v>
      </c>
      <c r="F501" s="18" t="s">
        <v>38</v>
      </c>
      <c r="G501" s="18" t="s">
        <v>18</v>
      </c>
      <c r="H501" s="18">
        <v>4</v>
      </c>
      <c r="I501" s="34">
        <v>318.24</v>
      </c>
      <c r="J501" s="37">
        <v>1272.96</v>
      </c>
      <c r="M501" s="39"/>
      <c r="R501" s="38"/>
    </row>
    <row r="502" spans="1:18" x14ac:dyDescent="0.2">
      <c r="M502" s="39"/>
      <c r="R502" s="38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FE53F-82B5-354B-B62F-5A8653852240}">
  <dimension ref="A1:I40"/>
  <sheetViews>
    <sheetView workbookViewId="0">
      <selection activeCell="B18" sqref="B18"/>
    </sheetView>
  </sheetViews>
  <sheetFormatPr baseColWidth="10" defaultRowHeight="16" x14ac:dyDescent="0.2"/>
  <cols>
    <col min="1" max="1" width="13" customWidth="1"/>
    <col min="2" max="3" width="26" bestFit="1" customWidth="1"/>
    <col min="8" max="8" width="26" bestFit="1" customWidth="1"/>
  </cols>
  <sheetData>
    <row r="1" spans="1:9" x14ac:dyDescent="0.2">
      <c r="A1" s="40" t="s">
        <v>59</v>
      </c>
      <c r="B1" s="40"/>
      <c r="C1" s="40"/>
      <c r="D1" s="40"/>
      <c r="E1" s="40"/>
      <c r="F1" s="40"/>
    </row>
    <row r="2" spans="1:9" x14ac:dyDescent="0.2">
      <c r="A2" s="40"/>
      <c r="B2" s="40"/>
      <c r="C2" s="40"/>
      <c r="D2" s="40"/>
      <c r="E2" s="40"/>
      <c r="F2" s="40"/>
    </row>
    <row r="3" spans="1:9" x14ac:dyDescent="0.2">
      <c r="A3" s="40"/>
      <c r="B3" s="40"/>
      <c r="C3" s="40"/>
      <c r="D3" s="40"/>
      <c r="E3" s="40"/>
      <c r="F3" s="40"/>
    </row>
    <row r="4" spans="1:9" ht="22" x14ac:dyDescent="0.3">
      <c r="A4" s="9" t="s">
        <v>90</v>
      </c>
      <c r="B4" s="9" t="s">
        <v>91</v>
      </c>
      <c r="C4" s="9" t="s">
        <v>92</v>
      </c>
    </row>
    <row r="5" spans="1:9" x14ac:dyDescent="0.2">
      <c r="A5" s="3" t="s">
        <v>60</v>
      </c>
      <c r="B5" s="7" t="s">
        <v>3</v>
      </c>
      <c r="C5" s="7" t="s">
        <v>1</v>
      </c>
      <c r="H5" s="2"/>
      <c r="I5" s="8"/>
    </row>
    <row r="6" spans="1:9" x14ac:dyDescent="0.2">
      <c r="A6" s="3" t="s">
        <v>61</v>
      </c>
      <c r="B6" s="7" t="s">
        <v>7</v>
      </c>
      <c r="C6" s="7" t="s">
        <v>5</v>
      </c>
      <c r="H6" s="2"/>
      <c r="I6" s="8"/>
    </row>
    <row r="7" spans="1:9" x14ac:dyDescent="0.2">
      <c r="A7" s="3" t="s">
        <v>62</v>
      </c>
      <c r="B7" s="7" t="s">
        <v>10</v>
      </c>
      <c r="C7" s="7" t="s">
        <v>9</v>
      </c>
      <c r="H7" s="2"/>
      <c r="I7" s="8"/>
    </row>
    <row r="8" spans="1:9" x14ac:dyDescent="0.2">
      <c r="A8" s="3" t="s">
        <v>63</v>
      </c>
      <c r="B8" s="7" t="s">
        <v>14</v>
      </c>
      <c r="C8" s="7" t="s">
        <v>12</v>
      </c>
      <c r="H8" s="2"/>
      <c r="I8" s="8"/>
    </row>
    <row r="9" spans="1:9" x14ac:dyDescent="0.2">
      <c r="A9" s="3" t="s">
        <v>64</v>
      </c>
      <c r="B9" s="7" t="s">
        <v>15</v>
      </c>
      <c r="C9" s="7" t="s">
        <v>5</v>
      </c>
      <c r="H9" s="2"/>
      <c r="I9" s="8"/>
    </row>
    <row r="10" spans="1:9" x14ac:dyDescent="0.2">
      <c r="A10" s="3" t="s">
        <v>65</v>
      </c>
      <c r="B10" s="7" t="s">
        <v>17</v>
      </c>
      <c r="C10" s="7" t="s">
        <v>9</v>
      </c>
      <c r="H10" s="2"/>
    </row>
    <row r="11" spans="1:9" x14ac:dyDescent="0.2">
      <c r="A11" s="3" t="s">
        <v>66</v>
      </c>
      <c r="B11" s="7" t="s">
        <v>18</v>
      </c>
      <c r="C11" s="7" t="s">
        <v>9</v>
      </c>
      <c r="G11" s="8"/>
      <c r="H11" s="2"/>
      <c r="I11" s="8"/>
    </row>
    <row r="12" spans="1:9" x14ac:dyDescent="0.2">
      <c r="A12" s="3" t="s">
        <v>67</v>
      </c>
      <c r="B12" s="7" t="s">
        <v>20</v>
      </c>
      <c r="C12" s="7" t="s">
        <v>12</v>
      </c>
      <c r="G12" s="8"/>
      <c r="H12" s="2"/>
      <c r="I12" s="8"/>
    </row>
    <row r="13" spans="1:9" x14ac:dyDescent="0.2">
      <c r="A13" s="3" t="s">
        <v>68</v>
      </c>
      <c r="B13" s="7" t="s">
        <v>22</v>
      </c>
      <c r="C13" s="7" t="s">
        <v>21</v>
      </c>
      <c r="G13" s="8"/>
      <c r="H13" s="2"/>
      <c r="I13" s="8"/>
    </row>
    <row r="14" spans="1:9" x14ac:dyDescent="0.2">
      <c r="A14" s="3" t="s">
        <v>69</v>
      </c>
      <c r="B14" s="7" t="s">
        <v>24</v>
      </c>
      <c r="C14" s="7" t="s">
        <v>1</v>
      </c>
      <c r="G14" s="8"/>
      <c r="H14" s="2"/>
      <c r="I14" s="8"/>
    </row>
    <row r="15" spans="1:9" x14ac:dyDescent="0.2">
      <c r="A15" s="3" t="s">
        <v>70</v>
      </c>
      <c r="B15" s="7" t="s">
        <v>25</v>
      </c>
      <c r="C15" s="7" t="s">
        <v>1</v>
      </c>
      <c r="G15" s="8"/>
      <c r="H15" s="2"/>
      <c r="I15" s="8"/>
    </row>
    <row r="16" spans="1:9" x14ac:dyDescent="0.2">
      <c r="A16" s="3" t="s">
        <v>71</v>
      </c>
      <c r="B16" s="7" t="s">
        <v>27</v>
      </c>
      <c r="C16" s="7" t="s">
        <v>26</v>
      </c>
      <c r="G16" s="8"/>
      <c r="H16" s="2"/>
      <c r="I16" s="8"/>
    </row>
    <row r="17" spans="1:9" x14ac:dyDescent="0.2">
      <c r="A17" s="3" t="s">
        <v>72</v>
      </c>
      <c r="B17" s="7" t="s">
        <v>28</v>
      </c>
      <c r="C17" s="7" t="s">
        <v>21</v>
      </c>
      <c r="G17" s="8"/>
      <c r="H17" s="2"/>
      <c r="I17" s="8"/>
    </row>
    <row r="18" spans="1:9" x14ac:dyDescent="0.2">
      <c r="A18" s="3" t="s">
        <v>73</v>
      </c>
      <c r="B18" s="7" t="s">
        <v>29</v>
      </c>
      <c r="C18" s="7" t="s">
        <v>5</v>
      </c>
      <c r="G18" s="8"/>
      <c r="H18" s="2"/>
      <c r="I18" s="8"/>
    </row>
    <row r="19" spans="1:9" x14ac:dyDescent="0.2">
      <c r="A19" s="3" t="s">
        <v>74</v>
      </c>
      <c r="B19" s="7" t="s">
        <v>30</v>
      </c>
      <c r="C19" s="7" t="s">
        <v>26</v>
      </c>
      <c r="G19" s="8"/>
      <c r="H19" s="2"/>
      <c r="I19" s="8"/>
    </row>
    <row r="20" spans="1:9" x14ac:dyDescent="0.2">
      <c r="A20" s="3" t="s">
        <v>75</v>
      </c>
      <c r="B20" s="7" t="s">
        <v>31</v>
      </c>
      <c r="C20" s="7" t="s">
        <v>12</v>
      </c>
      <c r="G20" s="8"/>
      <c r="H20" s="2"/>
      <c r="I20" s="8"/>
    </row>
    <row r="21" spans="1:9" x14ac:dyDescent="0.2">
      <c r="A21" s="3" t="s">
        <v>76</v>
      </c>
      <c r="B21" s="7" t="s">
        <v>32</v>
      </c>
      <c r="C21" s="7" t="s">
        <v>5</v>
      </c>
      <c r="G21" s="8"/>
      <c r="H21" s="2"/>
      <c r="I21" s="8"/>
    </row>
    <row r="22" spans="1:9" x14ac:dyDescent="0.2">
      <c r="A22" s="3" t="s">
        <v>77</v>
      </c>
      <c r="B22" s="7" t="s">
        <v>34</v>
      </c>
      <c r="C22" s="7" t="s">
        <v>1</v>
      </c>
      <c r="G22" s="8"/>
      <c r="H22" s="2"/>
      <c r="I22" s="8"/>
    </row>
    <row r="23" spans="1:9" x14ac:dyDescent="0.2">
      <c r="A23" s="3" t="s">
        <v>78</v>
      </c>
      <c r="B23" s="7" t="s">
        <v>36</v>
      </c>
      <c r="C23" s="7" t="s">
        <v>26</v>
      </c>
      <c r="G23" s="8"/>
      <c r="H23" s="2"/>
      <c r="I23" s="8"/>
    </row>
    <row r="24" spans="1:9" x14ac:dyDescent="0.2">
      <c r="A24" s="3" t="s">
        <v>79</v>
      </c>
      <c r="B24" s="7" t="s">
        <v>37</v>
      </c>
      <c r="C24" s="7" t="s">
        <v>21</v>
      </c>
      <c r="G24" s="8"/>
      <c r="H24" s="2"/>
      <c r="I24" s="8"/>
    </row>
    <row r="25" spans="1:9" x14ac:dyDescent="0.2">
      <c r="A25" s="3" t="s">
        <v>80</v>
      </c>
      <c r="B25" s="7" t="s">
        <v>39</v>
      </c>
      <c r="C25" s="7" t="s">
        <v>26</v>
      </c>
      <c r="G25" s="8"/>
      <c r="H25" s="2"/>
      <c r="I25" s="8"/>
    </row>
    <row r="26" spans="1:9" x14ac:dyDescent="0.2">
      <c r="A26" s="3" t="s">
        <v>81</v>
      </c>
      <c r="B26" s="7" t="s">
        <v>40</v>
      </c>
      <c r="C26" s="7" t="s">
        <v>9</v>
      </c>
      <c r="G26" s="8"/>
      <c r="H26" s="2"/>
      <c r="I26" s="8"/>
    </row>
    <row r="27" spans="1:9" x14ac:dyDescent="0.2">
      <c r="A27" s="3" t="s">
        <v>82</v>
      </c>
      <c r="B27" s="7" t="s">
        <v>41</v>
      </c>
      <c r="C27" s="7" t="s">
        <v>9</v>
      </c>
      <c r="G27" s="8"/>
      <c r="H27" s="2"/>
      <c r="I27" s="8"/>
    </row>
    <row r="28" spans="1:9" x14ac:dyDescent="0.2">
      <c r="A28" s="3" t="s">
        <v>83</v>
      </c>
      <c r="B28" s="7" t="s">
        <v>42</v>
      </c>
      <c r="C28" s="7" t="s">
        <v>21</v>
      </c>
      <c r="G28" s="8"/>
      <c r="H28" s="2"/>
      <c r="I28" s="8"/>
    </row>
    <row r="29" spans="1:9" x14ac:dyDescent="0.2">
      <c r="A29" s="3" t="s">
        <v>84</v>
      </c>
      <c r="B29" s="7" t="s">
        <v>43</v>
      </c>
      <c r="C29" s="7" t="s">
        <v>5</v>
      </c>
      <c r="G29" s="8"/>
      <c r="H29" s="2"/>
      <c r="I29" s="8"/>
    </row>
    <row r="30" spans="1:9" x14ac:dyDescent="0.2">
      <c r="A30" s="3" t="s">
        <v>85</v>
      </c>
      <c r="B30" s="7" t="s">
        <v>44</v>
      </c>
      <c r="C30" s="7" t="s">
        <v>12</v>
      </c>
      <c r="G30" s="8"/>
      <c r="H30" s="2"/>
      <c r="I30" s="8"/>
    </row>
    <row r="31" spans="1:9" x14ac:dyDescent="0.2">
      <c r="A31" s="3" t="s">
        <v>86</v>
      </c>
      <c r="B31" s="7" t="s">
        <v>45</v>
      </c>
      <c r="C31" s="7" t="s">
        <v>12</v>
      </c>
      <c r="G31" s="8"/>
      <c r="H31" s="2"/>
      <c r="I31" s="8"/>
    </row>
    <row r="32" spans="1:9" x14ac:dyDescent="0.2">
      <c r="A32" s="3" t="s">
        <v>87</v>
      </c>
      <c r="B32" s="7" t="s">
        <v>46</v>
      </c>
      <c r="C32" s="7" t="s">
        <v>21</v>
      </c>
      <c r="G32" s="8"/>
      <c r="H32" s="2"/>
      <c r="I32" s="8"/>
    </row>
    <row r="33" spans="1:9" x14ac:dyDescent="0.2">
      <c r="A33" s="3" t="s">
        <v>88</v>
      </c>
      <c r="B33" s="7" t="s">
        <v>47</v>
      </c>
      <c r="C33" s="7" t="s">
        <v>26</v>
      </c>
      <c r="G33" s="8"/>
      <c r="H33" s="2"/>
      <c r="I33" s="8"/>
    </row>
    <row r="34" spans="1:9" x14ac:dyDescent="0.2">
      <c r="A34" s="3" t="s">
        <v>89</v>
      </c>
      <c r="B34" s="7" t="s">
        <v>48</v>
      </c>
      <c r="C34" s="7" t="s">
        <v>1</v>
      </c>
      <c r="G34" s="8"/>
      <c r="I34" s="8"/>
    </row>
    <row r="35" spans="1:9" x14ac:dyDescent="0.2">
      <c r="G35" s="8"/>
      <c r="I35" s="8"/>
    </row>
    <row r="36" spans="1:9" x14ac:dyDescent="0.2">
      <c r="G36" s="8"/>
      <c r="I36" s="8"/>
    </row>
    <row r="37" spans="1:9" x14ac:dyDescent="0.2">
      <c r="G37" s="8"/>
      <c r="I37" s="8"/>
    </row>
    <row r="38" spans="1:9" x14ac:dyDescent="0.2">
      <c r="G38" s="8"/>
      <c r="I38" s="8"/>
    </row>
    <row r="39" spans="1:9" x14ac:dyDescent="0.2">
      <c r="G39" s="8"/>
      <c r="I39" s="8"/>
    </row>
    <row r="40" spans="1:9" x14ac:dyDescent="0.2">
      <c r="G40" s="8"/>
      <c r="I40" s="8"/>
    </row>
  </sheetData>
  <mergeCells count="1">
    <mergeCell ref="A1:F3"/>
  </mergeCells>
  <phoneticPr fontId="2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6FA2B-99D0-1445-B7BA-02CE5DCB5ACB}">
  <dimension ref="A1:P32"/>
  <sheetViews>
    <sheetView zoomScale="136" workbookViewId="0">
      <selection activeCell="C7" sqref="C7"/>
    </sheetView>
  </sheetViews>
  <sheetFormatPr baseColWidth="10" defaultRowHeight="16" x14ac:dyDescent="0.2"/>
  <cols>
    <col min="1" max="1" width="14.83203125" customWidth="1"/>
    <col min="2" max="2" width="23" customWidth="1"/>
  </cols>
  <sheetData>
    <row r="1" spans="1:16" x14ac:dyDescent="0.2">
      <c r="A1" s="41" t="s">
        <v>93</v>
      </c>
      <c r="B1" s="41"/>
      <c r="C1" s="41"/>
      <c r="D1" s="41"/>
      <c r="E1" s="41"/>
      <c r="F1" s="41"/>
      <c r="G1" s="41"/>
    </row>
    <row r="2" spans="1:16" x14ac:dyDescent="0.2">
      <c r="A2" s="41"/>
      <c r="B2" s="41"/>
      <c r="C2" s="41"/>
      <c r="D2" s="41"/>
      <c r="E2" s="41"/>
      <c r="F2" s="41"/>
      <c r="G2" s="41"/>
    </row>
    <row r="3" spans="1:16" x14ac:dyDescent="0.2">
      <c r="P3" s="3" t="s">
        <v>60</v>
      </c>
    </row>
    <row r="4" spans="1:16" x14ac:dyDescent="0.2">
      <c r="P4" s="3" t="s">
        <v>61</v>
      </c>
    </row>
    <row r="5" spans="1:16" x14ac:dyDescent="0.2">
      <c r="A5" s="10" t="s">
        <v>94</v>
      </c>
      <c r="B5" s="3" t="s">
        <v>71</v>
      </c>
      <c r="P5" s="3" t="s">
        <v>62</v>
      </c>
    </row>
    <row r="6" spans="1:16" x14ac:dyDescent="0.2">
      <c r="P6" s="3" t="s">
        <v>63</v>
      </c>
    </row>
    <row r="7" spans="1:16" x14ac:dyDescent="0.2">
      <c r="P7" s="3" t="s">
        <v>64</v>
      </c>
    </row>
    <row r="8" spans="1:16" x14ac:dyDescent="0.2">
      <c r="A8" s="11" t="s">
        <v>53</v>
      </c>
      <c r="B8" s="3" t="str">
        <f>VLOOKUP($B$5,INVENTARIO!$A$4:$C$34,2,FALSE)</f>
        <v>Crema Nivea</v>
      </c>
      <c r="P8" s="3" t="s">
        <v>65</v>
      </c>
    </row>
    <row r="9" spans="1:16" x14ac:dyDescent="0.2">
      <c r="A9" s="11" t="s">
        <v>92</v>
      </c>
      <c r="B9" s="3" t="str">
        <f>VLOOKUP($B$5,INVENTARIO!$A$4:$C$34,3,FALSE)</f>
        <v>Belleza</v>
      </c>
      <c r="P9" s="3" t="s">
        <v>66</v>
      </c>
    </row>
    <row r="10" spans="1:16" x14ac:dyDescent="0.2">
      <c r="P10" s="3" t="s">
        <v>67</v>
      </c>
    </row>
    <row r="11" spans="1:16" x14ac:dyDescent="0.2">
      <c r="P11" s="3" t="s">
        <v>68</v>
      </c>
    </row>
    <row r="12" spans="1:16" x14ac:dyDescent="0.2">
      <c r="P12" s="3" t="s">
        <v>69</v>
      </c>
    </row>
    <row r="13" spans="1:16" x14ac:dyDescent="0.2">
      <c r="P13" s="3" t="s">
        <v>70</v>
      </c>
    </row>
    <row r="14" spans="1:16" x14ac:dyDescent="0.2">
      <c r="P14" s="3" t="s">
        <v>71</v>
      </c>
    </row>
    <row r="15" spans="1:16" x14ac:dyDescent="0.2">
      <c r="P15" s="3" t="s">
        <v>72</v>
      </c>
    </row>
    <row r="16" spans="1:16" x14ac:dyDescent="0.2">
      <c r="P16" s="3" t="s">
        <v>73</v>
      </c>
    </row>
    <row r="17" spans="16:16" x14ac:dyDescent="0.2">
      <c r="P17" s="3" t="s">
        <v>74</v>
      </c>
    </row>
    <row r="18" spans="16:16" x14ac:dyDescent="0.2">
      <c r="P18" s="3" t="s">
        <v>75</v>
      </c>
    </row>
    <row r="19" spans="16:16" x14ac:dyDescent="0.2">
      <c r="P19" s="3" t="s">
        <v>76</v>
      </c>
    </row>
    <row r="20" spans="16:16" x14ac:dyDescent="0.2">
      <c r="P20" s="3" t="s">
        <v>77</v>
      </c>
    </row>
    <row r="21" spans="16:16" x14ac:dyDescent="0.2">
      <c r="P21" s="3" t="s">
        <v>78</v>
      </c>
    </row>
    <row r="22" spans="16:16" x14ac:dyDescent="0.2">
      <c r="P22" s="3" t="s">
        <v>79</v>
      </c>
    </row>
    <row r="23" spans="16:16" x14ac:dyDescent="0.2">
      <c r="P23" s="3" t="s">
        <v>80</v>
      </c>
    </row>
    <row r="24" spans="16:16" x14ac:dyDescent="0.2">
      <c r="P24" s="3" t="s">
        <v>81</v>
      </c>
    </row>
    <row r="25" spans="16:16" x14ac:dyDescent="0.2">
      <c r="P25" s="3" t="s">
        <v>82</v>
      </c>
    </row>
    <row r="26" spans="16:16" x14ac:dyDescent="0.2">
      <c r="P26" s="3" t="s">
        <v>83</v>
      </c>
    </row>
    <row r="27" spans="16:16" x14ac:dyDescent="0.2">
      <c r="P27" s="3" t="s">
        <v>84</v>
      </c>
    </row>
    <row r="28" spans="16:16" x14ac:dyDescent="0.2">
      <c r="P28" s="3" t="s">
        <v>85</v>
      </c>
    </row>
    <row r="29" spans="16:16" x14ac:dyDescent="0.2">
      <c r="P29" s="3" t="s">
        <v>86</v>
      </c>
    </row>
    <row r="30" spans="16:16" x14ac:dyDescent="0.2">
      <c r="P30" s="3" t="s">
        <v>87</v>
      </c>
    </row>
    <row r="31" spans="16:16" x14ac:dyDescent="0.2">
      <c r="P31" s="3" t="s">
        <v>88</v>
      </c>
    </row>
    <row r="32" spans="16:16" x14ac:dyDescent="0.2">
      <c r="P32" s="3" t="s">
        <v>89</v>
      </c>
    </row>
  </sheetData>
  <mergeCells count="1">
    <mergeCell ref="A1:G2"/>
  </mergeCells>
  <dataValidations count="1">
    <dataValidation type="list" allowBlank="1" showInputMessage="1" showErrorMessage="1" sqref="B5" xr:uid="{C80E34EE-4EAB-B245-AF5C-DC4BD3B21417}">
      <formula1>$P$3:$P$32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CDF2E-9FB9-D246-AB23-6BE10D8DD1DD}">
  <dimension ref="A1:Y67"/>
  <sheetViews>
    <sheetView zoomScaleNormal="125" workbookViewId="0">
      <selection activeCell="A15" sqref="A15:B27"/>
    </sheetView>
  </sheetViews>
  <sheetFormatPr baseColWidth="10" defaultRowHeight="16" x14ac:dyDescent="0.2"/>
  <cols>
    <col min="1" max="1" width="16.33203125" bestFit="1" customWidth="1"/>
    <col min="2" max="2" width="15" bestFit="1" customWidth="1"/>
    <col min="3" max="3" width="13.5" bestFit="1" customWidth="1"/>
    <col min="4" max="4" width="14.33203125" bestFit="1" customWidth="1"/>
    <col min="5" max="5" width="13.5" bestFit="1" customWidth="1"/>
    <col min="6" max="6" width="17" bestFit="1" customWidth="1"/>
    <col min="7" max="7" width="18" bestFit="1" customWidth="1"/>
    <col min="10" max="10" width="16.83203125" bestFit="1" customWidth="1"/>
    <col min="11" max="11" width="16.1640625" bestFit="1" customWidth="1"/>
    <col min="12" max="12" width="14.5" bestFit="1" customWidth="1"/>
    <col min="13" max="13" width="16.1640625" bestFit="1" customWidth="1"/>
    <col min="18" max="18" width="16.83203125" bestFit="1" customWidth="1"/>
    <col min="19" max="19" width="21.5" bestFit="1" customWidth="1"/>
    <col min="20" max="20" width="8.5" bestFit="1" customWidth="1"/>
    <col min="21" max="21" width="6.1640625" bestFit="1" customWidth="1"/>
    <col min="22" max="22" width="10.6640625" bestFit="1" customWidth="1"/>
    <col min="23" max="23" width="8.83203125" bestFit="1" customWidth="1"/>
    <col min="24" max="24" width="7.1640625" bestFit="1" customWidth="1"/>
    <col min="25" max="25" width="11.6640625" bestFit="1" customWidth="1"/>
  </cols>
  <sheetData>
    <row r="1" spans="1:25" x14ac:dyDescent="0.2">
      <c r="F1" s="43" t="s">
        <v>103</v>
      </c>
      <c r="G1" s="44"/>
      <c r="H1" s="44"/>
    </row>
    <row r="3" spans="1:25" x14ac:dyDescent="0.2">
      <c r="F3" s="22" t="s">
        <v>105</v>
      </c>
      <c r="G3" s="1" t="s">
        <v>106</v>
      </c>
    </row>
    <row r="4" spans="1:25" x14ac:dyDescent="0.2">
      <c r="F4" s="20" t="s">
        <v>7</v>
      </c>
      <c r="G4">
        <v>139</v>
      </c>
    </row>
    <row r="5" spans="1:25" x14ac:dyDescent="0.2">
      <c r="A5" s="45" t="s">
        <v>101</v>
      </c>
      <c r="B5" s="46"/>
      <c r="C5" s="46"/>
      <c r="F5" s="20" t="s">
        <v>30</v>
      </c>
      <c r="G5">
        <v>128</v>
      </c>
      <c r="J5" s="43" t="s">
        <v>109</v>
      </c>
      <c r="K5" s="43"/>
    </row>
    <row r="6" spans="1:25" x14ac:dyDescent="0.2">
      <c r="A6" s="19" t="s">
        <v>98</v>
      </c>
      <c r="B6" t="s">
        <v>99</v>
      </c>
      <c r="F6" s="20" t="s">
        <v>3</v>
      </c>
      <c r="G6">
        <v>125</v>
      </c>
      <c r="J6" s="22" t="s">
        <v>91</v>
      </c>
      <c r="K6" s="1" t="s">
        <v>108</v>
      </c>
      <c r="R6" s="19" t="s">
        <v>104</v>
      </c>
      <c r="S6" s="19" t="s">
        <v>112</v>
      </c>
    </row>
    <row r="7" spans="1:25" x14ac:dyDescent="0.2">
      <c r="A7" s="20">
        <v>2026</v>
      </c>
      <c r="B7" s="21">
        <v>1474609.3500000006</v>
      </c>
      <c r="F7" s="20" t="s">
        <v>18</v>
      </c>
      <c r="G7">
        <v>123</v>
      </c>
      <c r="J7" s="20" t="s">
        <v>5</v>
      </c>
      <c r="K7" s="21">
        <v>395862.04</v>
      </c>
      <c r="R7" s="19" t="s">
        <v>95</v>
      </c>
      <c r="S7" t="s">
        <v>9</v>
      </c>
      <c r="T7" t="s">
        <v>1</v>
      </c>
      <c r="U7" t="s">
        <v>5</v>
      </c>
      <c r="V7" t="s">
        <v>12</v>
      </c>
      <c r="W7" t="s">
        <v>21</v>
      </c>
      <c r="X7" t="s">
        <v>26</v>
      </c>
      <c r="Y7" t="s">
        <v>96</v>
      </c>
    </row>
    <row r="8" spans="1:25" x14ac:dyDescent="0.2">
      <c r="A8" s="20">
        <v>2027</v>
      </c>
      <c r="B8" s="21">
        <v>560535.38000000012</v>
      </c>
      <c r="F8" s="20" t="s">
        <v>43</v>
      </c>
      <c r="G8">
        <v>120</v>
      </c>
      <c r="J8" s="20" t="s">
        <v>1</v>
      </c>
      <c r="K8" s="21">
        <v>359299.37000000005</v>
      </c>
      <c r="R8" s="20" t="s">
        <v>19</v>
      </c>
      <c r="S8">
        <v>97</v>
      </c>
      <c r="T8">
        <v>115</v>
      </c>
      <c r="U8">
        <v>121</v>
      </c>
      <c r="V8">
        <v>92</v>
      </c>
      <c r="W8">
        <v>67</v>
      </c>
      <c r="X8">
        <v>87</v>
      </c>
      <c r="Y8">
        <v>579</v>
      </c>
    </row>
    <row r="9" spans="1:25" x14ac:dyDescent="0.2">
      <c r="A9" s="20" t="s">
        <v>96</v>
      </c>
      <c r="B9" s="21">
        <v>2035144.7300000007</v>
      </c>
      <c r="F9" s="20" t="s">
        <v>14</v>
      </c>
      <c r="G9">
        <v>115</v>
      </c>
      <c r="J9" s="20" t="s">
        <v>9</v>
      </c>
      <c r="K9" s="21">
        <v>337784.70999999985</v>
      </c>
      <c r="R9" s="20" t="s">
        <v>0</v>
      </c>
      <c r="S9">
        <v>93</v>
      </c>
      <c r="T9">
        <v>97</v>
      </c>
      <c r="U9">
        <v>118</v>
      </c>
      <c r="V9">
        <v>96</v>
      </c>
      <c r="W9">
        <v>70</v>
      </c>
      <c r="X9">
        <v>71</v>
      </c>
      <c r="Y9">
        <v>545</v>
      </c>
    </row>
    <row r="10" spans="1:25" x14ac:dyDescent="0.2">
      <c r="F10" s="20" t="s">
        <v>28</v>
      </c>
      <c r="G10">
        <v>111</v>
      </c>
      <c r="J10" s="20" t="s">
        <v>12</v>
      </c>
      <c r="K10" s="21">
        <v>331688.48</v>
      </c>
      <c r="R10" s="20" t="s">
        <v>8</v>
      </c>
      <c r="S10">
        <v>118</v>
      </c>
      <c r="T10">
        <v>93</v>
      </c>
      <c r="U10">
        <v>41</v>
      </c>
      <c r="V10">
        <v>41</v>
      </c>
      <c r="W10">
        <v>43</v>
      </c>
      <c r="X10">
        <v>72</v>
      </c>
      <c r="Y10">
        <v>408</v>
      </c>
    </row>
    <row r="11" spans="1:25" x14ac:dyDescent="0.2">
      <c r="F11" s="20" t="s">
        <v>25</v>
      </c>
      <c r="G11">
        <v>108</v>
      </c>
      <c r="J11" s="20" t="s">
        <v>26</v>
      </c>
      <c r="K11" s="21">
        <v>312072.66000000009</v>
      </c>
      <c r="R11" s="20" t="s">
        <v>11</v>
      </c>
      <c r="S11">
        <v>88</v>
      </c>
      <c r="T11">
        <v>65</v>
      </c>
      <c r="U11">
        <v>167</v>
      </c>
      <c r="V11">
        <v>95</v>
      </c>
      <c r="W11">
        <v>93</v>
      </c>
      <c r="X11">
        <v>89</v>
      </c>
      <c r="Y11">
        <v>597</v>
      </c>
    </row>
    <row r="12" spans="1:25" x14ac:dyDescent="0.2">
      <c r="F12" s="20" t="s">
        <v>29</v>
      </c>
      <c r="G12">
        <v>106</v>
      </c>
      <c r="J12" s="20" t="s">
        <v>21</v>
      </c>
      <c r="K12" s="21">
        <v>298437.46999999997</v>
      </c>
      <c r="R12" s="20" t="s">
        <v>4</v>
      </c>
      <c r="S12">
        <v>84</v>
      </c>
      <c r="T12">
        <v>63</v>
      </c>
      <c r="U12">
        <v>70</v>
      </c>
      <c r="V12">
        <v>113</v>
      </c>
      <c r="W12">
        <v>147</v>
      </c>
      <c r="X12">
        <v>88</v>
      </c>
      <c r="Y12">
        <v>565</v>
      </c>
    </row>
    <row r="13" spans="1:25" x14ac:dyDescent="0.2">
      <c r="F13" s="20" t="s">
        <v>10</v>
      </c>
      <c r="G13">
        <v>102</v>
      </c>
      <c r="J13" s="20" t="s">
        <v>96</v>
      </c>
      <c r="K13" s="21">
        <v>2035144.73</v>
      </c>
      <c r="R13" s="20" t="s">
        <v>96</v>
      </c>
      <c r="S13">
        <v>480</v>
      </c>
      <c r="T13">
        <v>433</v>
      </c>
      <c r="U13">
        <v>517</v>
      </c>
      <c r="V13">
        <v>437</v>
      </c>
      <c r="W13">
        <v>420</v>
      </c>
      <c r="X13">
        <v>407</v>
      </c>
      <c r="Y13">
        <v>2694</v>
      </c>
    </row>
    <row r="14" spans="1:25" x14ac:dyDescent="0.2">
      <c r="A14" s="45" t="s">
        <v>100</v>
      </c>
      <c r="B14" s="46"/>
      <c r="C14" s="46"/>
      <c r="F14" s="20" t="s">
        <v>42</v>
      </c>
      <c r="G14">
        <v>99</v>
      </c>
    </row>
    <row r="15" spans="1:25" x14ac:dyDescent="0.2">
      <c r="A15" s="22" t="s">
        <v>107</v>
      </c>
      <c r="B15" s="1" t="s">
        <v>108</v>
      </c>
      <c r="F15" s="20" t="s">
        <v>44</v>
      </c>
      <c r="G15">
        <v>97</v>
      </c>
    </row>
    <row r="16" spans="1:25" x14ac:dyDescent="0.2">
      <c r="A16" s="20">
        <v>1</v>
      </c>
      <c r="B16" s="21">
        <v>232293.16000000003</v>
      </c>
      <c r="F16" s="20" t="s">
        <v>40</v>
      </c>
      <c r="G16">
        <v>96</v>
      </c>
      <c r="J16" s="43" t="s">
        <v>110</v>
      </c>
      <c r="K16" s="44"/>
    </row>
    <row r="17" spans="1:11" x14ac:dyDescent="0.2">
      <c r="A17" s="20">
        <v>2</v>
      </c>
      <c r="B17" s="21">
        <v>221013.98000000004</v>
      </c>
      <c r="F17" s="20" t="s">
        <v>20</v>
      </c>
      <c r="G17">
        <v>95</v>
      </c>
      <c r="J17" s="22" t="s">
        <v>111</v>
      </c>
      <c r="K17" s="1" t="s">
        <v>108</v>
      </c>
    </row>
    <row r="18" spans="1:11" x14ac:dyDescent="0.2">
      <c r="A18" s="20">
        <v>3</v>
      </c>
      <c r="B18" s="21">
        <v>293002.56000000006</v>
      </c>
      <c r="F18" s="20" t="s">
        <v>37</v>
      </c>
      <c r="G18">
        <v>91</v>
      </c>
      <c r="J18" s="20" t="s">
        <v>113</v>
      </c>
      <c r="K18" s="21">
        <v>293871.58999999997</v>
      </c>
    </row>
    <row r="19" spans="1:11" x14ac:dyDescent="0.2">
      <c r="A19" s="20">
        <v>4</v>
      </c>
      <c r="B19" s="21">
        <v>228125.22999999998</v>
      </c>
      <c r="F19" s="20" t="s">
        <v>32</v>
      </c>
      <c r="G19">
        <v>90</v>
      </c>
      <c r="J19" s="20" t="s">
        <v>35</v>
      </c>
      <c r="K19" s="21">
        <v>291807.96000000002</v>
      </c>
    </row>
    <row r="20" spans="1:11" x14ac:dyDescent="0.2">
      <c r="A20" s="20">
        <v>5</v>
      </c>
      <c r="B20" s="21">
        <v>195372.89</v>
      </c>
      <c r="F20" s="20" t="s">
        <v>41</v>
      </c>
      <c r="G20">
        <v>89</v>
      </c>
      <c r="J20" s="20" t="s">
        <v>6</v>
      </c>
      <c r="K20" s="21">
        <v>271861.99</v>
      </c>
    </row>
    <row r="21" spans="1:11" x14ac:dyDescent="0.2">
      <c r="A21" s="20">
        <v>6</v>
      </c>
      <c r="B21" s="21">
        <v>122833.61999999998</v>
      </c>
      <c r="F21" s="20" t="s">
        <v>27</v>
      </c>
      <c r="G21">
        <v>84</v>
      </c>
      <c r="J21" s="20" t="s">
        <v>2</v>
      </c>
      <c r="K21" s="21">
        <v>261117.13000000012</v>
      </c>
    </row>
    <row r="22" spans="1:11" x14ac:dyDescent="0.2">
      <c r="A22" s="20">
        <v>7</v>
      </c>
      <c r="B22" s="21">
        <v>143129.22999999998</v>
      </c>
      <c r="F22" s="20" t="s">
        <v>39</v>
      </c>
      <c r="G22">
        <v>82</v>
      </c>
      <c r="J22" s="20" t="s">
        <v>13</v>
      </c>
      <c r="K22" s="21">
        <v>259181.09000000003</v>
      </c>
    </row>
    <row r="23" spans="1:11" x14ac:dyDescent="0.2">
      <c r="A23" s="20">
        <v>8</v>
      </c>
      <c r="B23" s="21">
        <v>132515.98000000004</v>
      </c>
      <c r="F23" s="20" t="s">
        <v>48</v>
      </c>
      <c r="G23">
        <v>75</v>
      </c>
      <c r="J23" s="20" t="s">
        <v>38</v>
      </c>
      <c r="K23" s="21">
        <v>255771.37000000005</v>
      </c>
    </row>
    <row r="24" spans="1:11" x14ac:dyDescent="0.2">
      <c r="A24" s="20">
        <v>9</v>
      </c>
      <c r="B24" s="21">
        <v>96956.749999999985</v>
      </c>
      <c r="F24" s="20" t="s">
        <v>17</v>
      </c>
      <c r="G24">
        <v>70</v>
      </c>
      <c r="J24" s="20" t="s">
        <v>23</v>
      </c>
      <c r="K24" s="21">
        <v>213368.3</v>
      </c>
    </row>
    <row r="25" spans="1:11" x14ac:dyDescent="0.2">
      <c r="A25" s="20">
        <v>10</v>
      </c>
      <c r="B25" s="21">
        <v>127713.59000000004</v>
      </c>
      <c r="F25" s="20" t="s">
        <v>45</v>
      </c>
      <c r="G25">
        <v>66</v>
      </c>
      <c r="J25" s="20" t="s">
        <v>33</v>
      </c>
      <c r="K25" s="21">
        <v>188165.3</v>
      </c>
    </row>
    <row r="26" spans="1:11" x14ac:dyDescent="0.2">
      <c r="A26" s="20">
        <v>11</v>
      </c>
      <c r="B26" s="21">
        <v>121148.35999999997</v>
      </c>
      <c r="F26" s="20" t="s">
        <v>34</v>
      </c>
      <c r="G26">
        <v>66</v>
      </c>
      <c r="J26" s="20" t="s">
        <v>96</v>
      </c>
      <c r="K26" s="21">
        <v>2035144.7300000002</v>
      </c>
    </row>
    <row r="27" spans="1:11" x14ac:dyDescent="0.2">
      <c r="A27" s="20">
        <v>12</v>
      </c>
      <c r="B27" s="21">
        <v>121039.37999999999</v>
      </c>
      <c r="F27" s="20" t="s">
        <v>31</v>
      </c>
      <c r="G27">
        <v>64</v>
      </c>
    </row>
    <row r="28" spans="1:11" x14ac:dyDescent="0.2">
      <c r="A28" s="20" t="s">
        <v>96</v>
      </c>
      <c r="B28" s="21">
        <v>2035144.73</v>
      </c>
      <c r="F28" s="20" t="s">
        <v>15</v>
      </c>
      <c r="G28">
        <v>62</v>
      </c>
    </row>
    <row r="29" spans="1:11" x14ac:dyDescent="0.2">
      <c r="F29" s="20" t="s">
        <v>46</v>
      </c>
      <c r="G29">
        <v>61</v>
      </c>
    </row>
    <row r="30" spans="1:11" x14ac:dyDescent="0.2">
      <c r="F30" s="20" t="s">
        <v>47</v>
      </c>
      <c r="G30">
        <v>59</v>
      </c>
    </row>
    <row r="31" spans="1:11" x14ac:dyDescent="0.2">
      <c r="F31" s="20" t="s">
        <v>24</v>
      </c>
      <c r="G31">
        <v>59</v>
      </c>
      <c r="J31" s="19" t="s">
        <v>95</v>
      </c>
      <c r="K31" t="s">
        <v>97</v>
      </c>
    </row>
    <row r="32" spans="1:11" x14ac:dyDescent="0.2">
      <c r="A32" s="42" t="s">
        <v>102</v>
      </c>
      <c r="B32" s="42"/>
      <c r="F32" s="20" t="s">
        <v>22</v>
      </c>
      <c r="G32">
        <v>58</v>
      </c>
      <c r="J32" s="20">
        <v>2026</v>
      </c>
      <c r="K32" s="21">
        <v>1474609.3499999999</v>
      </c>
    </row>
    <row r="33" spans="1:11" x14ac:dyDescent="0.2">
      <c r="A33" s="19" t="s">
        <v>95</v>
      </c>
      <c r="B33" t="s">
        <v>97</v>
      </c>
      <c r="F33" s="20" t="s">
        <v>36</v>
      </c>
      <c r="G33">
        <v>54</v>
      </c>
      <c r="J33" s="23">
        <v>1</v>
      </c>
      <c r="K33" s="21">
        <v>132759.50000000003</v>
      </c>
    </row>
    <row r="34" spans="1:11" x14ac:dyDescent="0.2">
      <c r="A34" s="20" t="s">
        <v>4</v>
      </c>
      <c r="B34" s="21">
        <v>463384.72999999992</v>
      </c>
      <c r="F34" s="20" t="s">
        <v>96</v>
      </c>
      <c r="G34">
        <v>2694</v>
      </c>
      <c r="J34" s="23">
        <v>2</v>
      </c>
      <c r="K34" s="21">
        <v>122438.91</v>
      </c>
    </row>
    <row r="35" spans="1:11" x14ac:dyDescent="0.2">
      <c r="A35" s="20" t="s">
        <v>11</v>
      </c>
      <c r="B35" s="21">
        <v>431107.13</v>
      </c>
      <c r="J35" s="23">
        <v>3</v>
      </c>
      <c r="K35" s="21">
        <v>129807.33</v>
      </c>
    </row>
    <row r="36" spans="1:11" x14ac:dyDescent="0.2">
      <c r="A36" s="20" t="s">
        <v>19</v>
      </c>
      <c r="B36" s="21">
        <v>424228.05000000016</v>
      </c>
      <c r="J36" s="23">
        <v>4</v>
      </c>
      <c r="K36" s="21">
        <v>102333.55</v>
      </c>
    </row>
    <row r="37" spans="1:11" x14ac:dyDescent="0.2">
      <c r="A37" s="20" t="s">
        <v>0</v>
      </c>
      <c r="B37" s="21">
        <v>384941.41000000003</v>
      </c>
      <c r="J37" s="23">
        <v>5</v>
      </c>
      <c r="K37" s="21">
        <v>121933.15000000001</v>
      </c>
    </row>
    <row r="38" spans="1:11" x14ac:dyDescent="0.2">
      <c r="A38" s="20" t="s">
        <v>8</v>
      </c>
      <c r="B38" s="21">
        <v>331483.41000000009</v>
      </c>
      <c r="J38" s="23">
        <v>6</v>
      </c>
      <c r="K38" s="21">
        <v>122833.61999999998</v>
      </c>
    </row>
    <row r="39" spans="1:11" x14ac:dyDescent="0.2">
      <c r="A39" s="20" t="s">
        <v>96</v>
      </c>
      <c r="B39" s="21">
        <v>2035144.7300000004</v>
      </c>
      <c r="J39" s="23">
        <v>7</v>
      </c>
      <c r="K39" s="21">
        <v>143129.22999999998</v>
      </c>
    </row>
    <row r="40" spans="1:11" x14ac:dyDescent="0.2">
      <c r="J40" s="23">
        <v>8</v>
      </c>
      <c r="K40" s="21">
        <v>132515.98000000004</v>
      </c>
    </row>
    <row r="41" spans="1:11" x14ac:dyDescent="0.2">
      <c r="J41" s="23">
        <v>9</v>
      </c>
      <c r="K41" s="21">
        <v>96956.749999999985</v>
      </c>
    </row>
    <row r="42" spans="1:11" x14ac:dyDescent="0.2">
      <c r="J42" s="23">
        <v>10</v>
      </c>
      <c r="K42" s="21">
        <v>127713.59000000004</v>
      </c>
    </row>
    <row r="43" spans="1:11" x14ac:dyDescent="0.2">
      <c r="J43" s="23">
        <v>11</v>
      </c>
      <c r="K43" s="21">
        <v>121148.35999999997</v>
      </c>
    </row>
    <row r="44" spans="1:11" x14ac:dyDescent="0.2">
      <c r="J44" s="23">
        <v>12</v>
      </c>
      <c r="K44" s="21">
        <v>121039.37999999999</v>
      </c>
    </row>
    <row r="45" spans="1:11" x14ac:dyDescent="0.2">
      <c r="J45" s="20">
        <v>2027</v>
      </c>
      <c r="K45" s="21">
        <v>560535.38</v>
      </c>
    </row>
    <row r="46" spans="1:11" x14ac:dyDescent="0.2">
      <c r="J46" s="23">
        <v>1</v>
      </c>
      <c r="K46" s="21">
        <v>99533.660000000018</v>
      </c>
    </row>
    <row r="47" spans="1:11" x14ac:dyDescent="0.2">
      <c r="J47" s="23">
        <v>2</v>
      </c>
      <c r="K47" s="21">
        <v>98575.069999999978</v>
      </c>
    </row>
    <row r="48" spans="1:11" x14ac:dyDescent="0.2">
      <c r="J48" s="23">
        <v>3</v>
      </c>
      <c r="K48" s="21">
        <v>163195.22999999998</v>
      </c>
    </row>
    <row r="49" spans="1:12" x14ac:dyDescent="0.2">
      <c r="J49" s="23">
        <v>4</v>
      </c>
      <c r="K49" s="21">
        <v>125791.68000000004</v>
      </c>
    </row>
    <row r="50" spans="1:12" x14ac:dyDescent="0.2">
      <c r="J50" s="23">
        <v>5</v>
      </c>
      <c r="K50" s="21">
        <v>73439.740000000005</v>
      </c>
    </row>
    <row r="51" spans="1:12" x14ac:dyDescent="0.2">
      <c r="J51" s="20" t="s">
        <v>96</v>
      </c>
      <c r="K51" s="21">
        <v>2035144.7299999997</v>
      </c>
    </row>
    <row r="54" spans="1:12" x14ac:dyDescent="0.2">
      <c r="J54" s="30" t="s">
        <v>57</v>
      </c>
      <c r="K54" s="31" t="s">
        <v>118</v>
      </c>
    </row>
    <row r="55" spans="1:12" x14ac:dyDescent="0.2">
      <c r="J55" s="26">
        <v>1</v>
      </c>
      <c r="K55" s="27">
        <v>-0.25027090340051028</v>
      </c>
    </row>
    <row r="56" spans="1:12" x14ac:dyDescent="0.2">
      <c r="J56" s="26">
        <v>2</v>
      </c>
      <c r="K56" s="27">
        <v>-0.1949040546015969</v>
      </c>
    </row>
    <row r="57" spans="1:12" x14ac:dyDescent="0.2">
      <c r="J57" s="26">
        <v>3</v>
      </c>
      <c r="K57" s="27">
        <v>0.25721120679394616</v>
      </c>
    </row>
    <row r="58" spans="1:12" x14ac:dyDescent="0.2">
      <c r="J58" s="26">
        <v>4</v>
      </c>
      <c r="K58" s="27">
        <v>0.22923205537186978</v>
      </c>
    </row>
    <row r="59" spans="1:12" x14ac:dyDescent="0.2">
      <c r="B59" s="19" t="s">
        <v>112</v>
      </c>
      <c r="J59" s="28">
        <v>5</v>
      </c>
      <c r="K59" s="29">
        <v>-0.39770488993354147</v>
      </c>
      <c r="L59" s="25"/>
    </row>
    <row r="60" spans="1:12" x14ac:dyDescent="0.2">
      <c r="B60">
        <v>2026</v>
      </c>
      <c r="D60">
        <v>2027</v>
      </c>
      <c r="F60" t="s">
        <v>114</v>
      </c>
      <c r="G60" t="s">
        <v>116</v>
      </c>
      <c r="K60" s="20"/>
      <c r="L60" s="24"/>
    </row>
    <row r="61" spans="1:12" x14ac:dyDescent="0.2">
      <c r="A61" s="19" t="s">
        <v>115</v>
      </c>
      <c r="B61" t="s">
        <v>97</v>
      </c>
      <c r="C61" t="s">
        <v>117</v>
      </c>
      <c r="D61" t="s">
        <v>97</v>
      </c>
      <c r="E61" t="s">
        <v>117</v>
      </c>
      <c r="K61" s="20"/>
      <c r="L61" s="24"/>
    </row>
    <row r="62" spans="1:12" x14ac:dyDescent="0.2">
      <c r="A62" s="20">
        <v>1</v>
      </c>
      <c r="B62" s="21">
        <v>132759.50000000003</v>
      </c>
      <c r="C62" s="24"/>
      <c r="D62" s="21">
        <v>99533.659999999974</v>
      </c>
      <c r="E62" s="24">
        <v>-0.25027090340051028</v>
      </c>
      <c r="F62" s="21">
        <v>232293.16</v>
      </c>
      <c r="G62" s="24"/>
      <c r="K62" s="20"/>
      <c r="L62" s="24"/>
    </row>
    <row r="63" spans="1:12" x14ac:dyDescent="0.2">
      <c r="A63" s="20">
        <v>2</v>
      </c>
      <c r="B63" s="21">
        <v>122438.91</v>
      </c>
      <c r="C63" s="24"/>
      <c r="D63" s="21">
        <v>98575.069999999992</v>
      </c>
      <c r="E63" s="24">
        <v>-0.1949040546015969</v>
      </c>
      <c r="F63" s="21">
        <v>221013.97999999998</v>
      </c>
      <c r="G63" s="24"/>
      <c r="K63" s="20"/>
      <c r="L63" s="24"/>
    </row>
    <row r="64" spans="1:12" x14ac:dyDescent="0.2">
      <c r="A64" s="20">
        <v>3</v>
      </c>
      <c r="B64" s="21">
        <v>129807.33</v>
      </c>
      <c r="C64" s="24"/>
      <c r="D64" s="21">
        <v>163195.23000000001</v>
      </c>
      <c r="E64" s="24">
        <v>0.25721120679394616</v>
      </c>
      <c r="F64" s="21">
        <v>293002.56</v>
      </c>
      <c r="G64" s="24"/>
      <c r="K64" s="20"/>
      <c r="L64" s="24"/>
    </row>
    <row r="65" spans="1:7" x14ac:dyDescent="0.2">
      <c r="A65" s="20">
        <v>4</v>
      </c>
      <c r="B65" s="21">
        <v>102333.55</v>
      </c>
      <c r="C65" s="24"/>
      <c r="D65" s="21">
        <v>125791.68000000001</v>
      </c>
      <c r="E65" s="24">
        <v>0.22923205537186978</v>
      </c>
      <c r="F65" s="21">
        <v>228125.23</v>
      </c>
      <c r="G65" s="24"/>
    </row>
    <row r="66" spans="1:7" x14ac:dyDescent="0.2">
      <c r="A66" s="20">
        <v>5</v>
      </c>
      <c r="B66" s="21">
        <v>121933.15000000001</v>
      </c>
      <c r="C66" s="24"/>
      <c r="D66" s="21">
        <v>73439.740000000005</v>
      </c>
      <c r="E66" s="24">
        <v>-0.39770488993354147</v>
      </c>
      <c r="F66" s="21">
        <v>195372.89</v>
      </c>
      <c r="G66" s="24"/>
    </row>
    <row r="67" spans="1:7" x14ac:dyDescent="0.2">
      <c r="A67" s="20" t="s">
        <v>96</v>
      </c>
      <c r="B67" s="21">
        <v>609272.44000000006</v>
      </c>
      <c r="C67" s="24"/>
      <c r="D67" s="21">
        <v>560535.38</v>
      </c>
      <c r="E67" s="24">
        <v>-7.9992228107347269E-2</v>
      </c>
      <c r="F67" s="21">
        <v>1169807.8199999998</v>
      </c>
      <c r="G67" s="24"/>
    </row>
  </sheetData>
  <mergeCells count="6">
    <mergeCell ref="A32:B32"/>
    <mergeCell ref="F1:H1"/>
    <mergeCell ref="J5:K5"/>
    <mergeCell ref="J16:K16"/>
    <mergeCell ref="A5:C5"/>
    <mergeCell ref="A14:C14"/>
  </mergeCells>
  <pageMargins left="0.7" right="0.7" top="0.75" bottom="0.75" header="0.3" footer="0.3"/>
  <drawing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Ventas</vt:lpstr>
      <vt:lpstr>INVENTARIO</vt:lpstr>
      <vt:lpstr>BUSQUEDA DE PRODUCTOS</vt:lpstr>
      <vt:lpstr>TABLAS DINAMICAS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tratopolo@gmail.com</dc:creator>
  <cp:lastModifiedBy>tratopolo@gmail.com</cp:lastModifiedBy>
  <dcterms:created xsi:type="dcterms:W3CDTF">2026-02-27T16:13:32Z</dcterms:created>
  <dcterms:modified xsi:type="dcterms:W3CDTF">2026-03-13T02:59:32Z</dcterms:modified>
</cp:coreProperties>
</file>